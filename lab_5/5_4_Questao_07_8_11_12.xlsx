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Plan1" sheetId="2" r:id="rId1"/>
    <sheet name="Adiantado" sheetId="1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M11" i="1" l="1"/>
  <c r="M7" i="1"/>
  <c r="M6" i="1"/>
  <c r="M5" i="1"/>
  <c r="M4" i="1"/>
  <c r="M12" i="1" l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9" i="1"/>
  <c r="M10" i="1" s="1"/>
  <c r="H88" i="1" l="1"/>
  <c r="H86" i="1"/>
  <c r="H84" i="1"/>
  <c r="H82" i="1"/>
  <c r="H70" i="1"/>
  <c r="H62" i="1"/>
  <c r="H63" i="1"/>
  <c r="H64" i="1"/>
  <c r="H65" i="1"/>
  <c r="H66" i="1"/>
  <c r="H67" i="1"/>
  <c r="H68" i="1"/>
  <c r="H61" i="1"/>
  <c r="G62" i="1"/>
  <c r="G63" i="1" s="1"/>
  <c r="G64" i="1" s="1"/>
  <c r="G65" i="1" s="1"/>
  <c r="G66" i="1" s="1"/>
  <c r="G67" i="1" s="1"/>
  <c r="G68" i="1" s="1"/>
  <c r="E126" i="1"/>
  <c r="E127" i="1" s="1"/>
  <c r="E121" i="1"/>
  <c r="E122" i="1" s="1"/>
  <c r="E123" i="1" s="1"/>
  <c r="E124" i="1" s="1"/>
  <c r="E125" i="1" s="1"/>
  <c r="D108" i="1"/>
  <c r="H56" i="1"/>
  <c r="H58" i="1"/>
  <c r="H59" i="1"/>
  <c r="H60" i="1"/>
  <c r="G56" i="1"/>
  <c r="G57" i="1"/>
  <c r="G58" i="1" s="1"/>
  <c r="G59" i="1" s="1"/>
  <c r="G60" i="1" s="1"/>
  <c r="H47" i="1"/>
  <c r="D109" i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E103" i="1"/>
  <c r="E104" i="1" s="1"/>
  <c r="E105" i="1" s="1"/>
  <c r="E106" i="1" s="1"/>
  <c r="E107" i="1" s="1"/>
  <c r="D84" i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83" i="1"/>
  <c r="H37" i="1"/>
  <c r="H38" i="1"/>
  <c r="H39" i="1"/>
  <c r="H40" i="1"/>
  <c r="H41" i="1"/>
  <c r="H42" i="1"/>
  <c r="H43" i="1"/>
  <c r="H44" i="1"/>
  <c r="H45" i="1"/>
  <c r="H46" i="1"/>
  <c r="G41" i="1"/>
  <c r="G42" i="1" s="1"/>
  <c r="G43" i="1" s="1"/>
  <c r="G44" i="1" s="1"/>
  <c r="G45" i="1" s="1"/>
  <c r="G46" i="1" s="1"/>
  <c r="E77" i="1"/>
  <c r="E78" i="1" s="1"/>
  <c r="E79" i="1" s="1"/>
  <c r="E80" i="1" s="1"/>
  <c r="E81" i="1" s="1"/>
  <c r="E76" i="1"/>
  <c r="D58" i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57" i="1"/>
  <c r="H32" i="1"/>
  <c r="H33" i="1"/>
  <c r="H34" i="1"/>
  <c r="H35" i="1"/>
  <c r="H36" i="1"/>
  <c r="H23" i="1"/>
  <c r="H22" i="1"/>
  <c r="H21" i="1"/>
  <c r="D34" i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33" i="1"/>
  <c r="H13" i="1"/>
  <c r="H14" i="1"/>
  <c r="H15" i="1"/>
  <c r="H16" i="1"/>
  <c r="H17" i="1"/>
  <c r="H18" i="1"/>
  <c r="H19" i="1"/>
  <c r="H12" i="1"/>
  <c r="H11" i="1"/>
  <c r="H6" i="1"/>
  <c r="H5" i="1"/>
  <c r="H3" i="1"/>
  <c r="H57" i="1" l="1"/>
  <c r="D13" i="2"/>
  <c r="D14" i="2" s="1"/>
  <c r="D15" i="2" s="1"/>
  <c r="D16" i="2" s="1"/>
  <c r="D17" i="2" s="1"/>
  <c r="D18" i="2" s="1"/>
  <c r="D19" i="2" s="1"/>
  <c r="D12" i="2"/>
  <c r="B12" i="2"/>
  <c r="B13" i="2" s="1"/>
  <c r="B14" i="2" s="1"/>
  <c r="B15" i="2" s="1"/>
  <c r="B16" i="2" s="1"/>
  <c r="B17" i="2" s="1"/>
  <c r="B18" i="2" s="1"/>
  <c r="B19" i="2" s="1"/>
  <c r="B11" i="2"/>
  <c r="J5" i="2"/>
  <c r="J6" i="2" s="1"/>
  <c r="J4" i="2"/>
  <c r="J3" i="2"/>
  <c r="I4" i="2"/>
  <c r="I5" i="2"/>
  <c r="I6" i="2"/>
  <c r="I3" i="2"/>
  <c r="B8" i="2"/>
  <c r="B9" i="2" s="1"/>
  <c r="B10" i="2" s="1"/>
  <c r="B7" i="2"/>
  <c r="D6" i="2"/>
  <c r="D5" i="2"/>
  <c r="D4" i="2"/>
  <c r="K11" i="1"/>
  <c r="J12" i="1"/>
  <c r="J13" i="1"/>
  <c r="J14" i="1"/>
  <c r="J15" i="1"/>
  <c r="J16" i="1"/>
  <c r="J17" i="1"/>
  <c r="J18" i="1"/>
  <c r="J19" i="1"/>
  <c r="J11" i="1"/>
  <c r="D21" i="1"/>
  <c r="D22" i="1" s="1"/>
  <c r="D23" i="1" s="1"/>
  <c r="D13" i="1"/>
  <c r="D14" i="1" s="1"/>
  <c r="D15" i="1" s="1"/>
  <c r="D16" i="1" s="1"/>
  <c r="D17" i="1" s="1"/>
  <c r="D18" i="1" s="1"/>
  <c r="D19" i="1" s="1"/>
  <c r="D11" i="1"/>
  <c r="D12" i="1"/>
  <c r="K5" i="1"/>
  <c r="K6" i="1"/>
  <c r="K4" i="1"/>
  <c r="K3" i="1"/>
  <c r="J4" i="1"/>
  <c r="J5" i="1"/>
  <c r="J6" i="1"/>
  <c r="J3" i="1"/>
  <c r="D6" i="1"/>
  <c r="D5" i="1"/>
  <c r="D4" i="1"/>
  <c r="K12" i="1" l="1"/>
  <c r="K13" i="1" s="1"/>
  <c r="K14" i="1" s="1"/>
  <c r="K15" i="1" s="1"/>
  <c r="K16" i="1" s="1"/>
  <c r="K17" i="1" s="1"/>
  <c r="K18" i="1" s="1"/>
  <c r="K19" i="1" s="1"/>
</calcChain>
</file>

<file path=xl/sharedStrings.xml><?xml version="1.0" encoding="utf-8"?>
<sst xmlns="http://schemas.openxmlformats.org/spreadsheetml/2006/main" count="129" uniqueCount="65">
  <si>
    <t>Pacote</t>
  </si>
  <si>
    <t>Hora SND</t>
  </si>
  <si>
    <t>Hora ACK</t>
  </si>
  <si>
    <t>EstimatedRTT</t>
  </si>
  <si>
    <t>TCP Len</t>
  </si>
  <si>
    <t>SEQ</t>
  </si>
  <si>
    <t>ACK</t>
  </si>
  <si>
    <t>Tipo</t>
  </si>
  <si>
    <t>TX</t>
  </si>
  <si>
    <t>RX</t>
  </si>
  <si>
    <t>RTT (ms)</t>
  </si>
  <si>
    <t>Bytes Ack</t>
  </si>
  <si>
    <t>atrasado</t>
  </si>
  <si>
    <t>ACK DO 32</t>
  </si>
  <si>
    <t>ACK DO 33</t>
  </si>
  <si>
    <t>ACK DO 34</t>
  </si>
  <si>
    <t>ACK DO 35</t>
  </si>
  <si>
    <t>ACK DO 40</t>
  </si>
  <si>
    <t>ACK DO 41</t>
  </si>
  <si>
    <t>ACK DO 48</t>
  </si>
  <si>
    <t>ACK DO 42</t>
  </si>
  <si>
    <t>ACK DO 43</t>
  </si>
  <si>
    <t>ACK DO 44</t>
  </si>
  <si>
    <t>ACK DO 45</t>
  </si>
  <si>
    <t>ACK DO 46</t>
  </si>
  <si>
    <t>ACK DO 47</t>
  </si>
  <si>
    <t>ACK DO 50</t>
  </si>
  <si>
    <t>ACK DO 51</t>
  </si>
  <si>
    <t>ACK DO 52</t>
  </si>
  <si>
    <t>ACK DO 61</t>
  </si>
  <si>
    <t>ACK DO 62</t>
  </si>
  <si>
    <t>ACK DO 63</t>
  </si>
  <si>
    <t>ACK DO 64</t>
  </si>
  <si>
    <t>ACK DO 65</t>
  </si>
  <si>
    <t>ACK DO 66</t>
  </si>
  <si>
    <t>ACK DO 67</t>
  </si>
  <si>
    <t>ACK DO 68</t>
  </si>
  <si>
    <t>ACK DO 69</t>
  </si>
  <si>
    <t>ACK DO 70</t>
  </si>
  <si>
    <t>ACK DO 71</t>
  </si>
  <si>
    <t>ACK DO 72</t>
  </si>
  <si>
    <t>ACK DO 73</t>
  </si>
  <si>
    <t>ACK DO 74</t>
  </si>
  <si>
    <t>ACK DO 75</t>
  </si>
  <si>
    <t>ACK DO 76</t>
  </si>
  <si>
    <t>ACK DO 85</t>
  </si>
  <si>
    <t>ACK DO 86</t>
  </si>
  <si>
    <t>ACK DO 87</t>
  </si>
  <si>
    <t>ACK DO 88</t>
  </si>
  <si>
    <t>ACK DO 89</t>
  </si>
  <si>
    <t>ACK DO 90</t>
  </si>
  <si>
    <t>ACK DO 91</t>
  </si>
  <si>
    <t>ACK DO 92</t>
  </si>
  <si>
    <t>ACK DO 93</t>
  </si>
  <si>
    <t>ACK DO 94</t>
  </si>
  <si>
    <t>ACK DO 95</t>
  </si>
  <si>
    <t>ACK DO 96</t>
  </si>
  <si>
    <t>ACK DO 97</t>
  </si>
  <si>
    <t>ACK DO 99</t>
  </si>
  <si>
    <t>***</t>
  </si>
  <si>
    <t>ACK DO 111</t>
  </si>
  <si>
    <t>ACK DO 113</t>
  </si>
  <si>
    <t>ACK DO 115</t>
  </si>
  <si>
    <t>ACK DO 117</t>
  </si>
  <si>
    <t>Bytes na rede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</si>
</sst>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/>
    <xf numFmtId="164" fontId="0" fillId="0" borderId="0" xfId="0" applyNumberFormat="1"/>
    <xf numFmtId="0" fontId="3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9"/>
  <sheetViews>
    <sheetView zoomScale="130" zoomScaleNormal="130" workbookViewId="0">
      <selection activeCell="D20" sqref="D20"/>
    </sheetView>
  </sheetViews>
  <sheetFormatPr defaultRowHeight="15" x14ac:dyDescent="0.25"/>
  <cols>
    <col min="9" max="9" width="8.28515625" bestFit="1" customWidth="1"/>
    <col min="10" max="10" width="12.42578125" bestFit="1" customWidth="1"/>
  </cols>
  <sheetData>
    <row r="2" spans="1:10" x14ac:dyDescent="0.3">
      <c r="A2" s="1" t="s">
        <v>7</v>
      </c>
      <c r="B2" s="1" t="s">
        <v>0</v>
      </c>
      <c r="C2" s="1" t="s">
        <v>4</v>
      </c>
      <c r="D2" s="1" t="s">
        <v>5</v>
      </c>
      <c r="E2" s="1" t="s">
        <v>6</v>
      </c>
      <c r="F2" s="1" t="s">
        <v>1</v>
      </c>
      <c r="G2" s="1" t="s">
        <v>6</v>
      </c>
      <c r="H2" s="1" t="s">
        <v>2</v>
      </c>
      <c r="I2" s="1" t="s">
        <v>10</v>
      </c>
      <c r="J2" s="1" t="s">
        <v>3</v>
      </c>
    </row>
    <row r="3" spans="1:10" x14ac:dyDescent="0.3">
      <c r="A3" t="s">
        <v>8</v>
      </c>
      <c r="B3">
        <v>32</v>
      </c>
      <c r="C3">
        <v>720</v>
      </c>
      <c r="D3">
        <v>1</v>
      </c>
      <c r="E3">
        <v>1</v>
      </c>
      <c r="F3">
        <v>3.6127560000000001</v>
      </c>
      <c r="G3" s="2">
        <v>721</v>
      </c>
      <c r="H3" s="2">
        <v>3.6141070000000002</v>
      </c>
      <c r="I3">
        <f>(H3-F3)*1000</f>
        <v>1.3510000000001021</v>
      </c>
      <c r="J3" s="3">
        <f>I3</f>
        <v>1.3510000000001021</v>
      </c>
    </row>
    <row r="4" spans="1:10" x14ac:dyDescent="0.3">
      <c r="A4" t="s">
        <v>8</v>
      </c>
      <c r="B4">
        <v>33</v>
      </c>
      <c r="C4">
        <v>1460</v>
      </c>
      <c r="D4">
        <f>D3+C3</f>
        <v>721</v>
      </c>
      <c r="E4">
        <v>1</v>
      </c>
      <c r="F4">
        <v>3.6129410000000002</v>
      </c>
      <c r="G4" s="2">
        <v>2181</v>
      </c>
      <c r="H4" s="2">
        <v>3.6141070000000002</v>
      </c>
      <c r="I4">
        <f t="shared" ref="I4:I6" si="0">(H4-F4)*1000</f>
        <v>1.1660000000000004</v>
      </c>
      <c r="J4" s="3">
        <f>0.875*J3+0.125*I4</f>
        <v>1.3278750000000894</v>
      </c>
    </row>
    <row r="5" spans="1:10" x14ac:dyDescent="0.3">
      <c r="A5" t="s">
        <v>8</v>
      </c>
      <c r="B5">
        <v>34</v>
      </c>
      <c r="C5">
        <v>1460</v>
      </c>
      <c r="D5">
        <f>D4+C4</f>
        <v>2181</v>
      </c>
      <c r="E5">
        <v>1</v>
      </c>
      <c r="F5">
        <v>3.6129410000000002</v>
      </c>
      <c r="G5" s="2">
        <v>3641</v>
      </c>
      <c r="H5" s="2">
        <v>3.6141070000000002</v>
      </c>
      <c r="I5">
        <f t="shared" si="0"/>
        <v>1.1660000000000004</v>
      </c>
      <c r="J5" s="3">
        <f t="shared" ref="J5:J6" si="1">0.875*J4+0.125*I5</f>
        <v>1.3076406250000783</v>
      </c>
    </row>
    <row r="6" spans="1:10" x14ac:dyDescent="0.3">
      <c r="A6" t="s">
        <v>8</v>
      </c>
      <c r="B6">
        <v>35</v>
      </c>
      <c r="C6">
        <v>1460</v>
      </c>
      <c r="D6">
        <f>D5+C5</f>
        <v>3641</v>
      </c>
      <c r="E6">
        <v>1</v>
      </c>
      <c r="F6">
        <v>3.6129410000000002</v>
      </c>
      <c r="G6" s="2">
        <v>5101</v>
      </c>
      <c r="H6" s="2">
        <v>3.6141070000000002</v>
      </c>
      <c r="I6">
        <f t="shared" si="0"/>
        <v>1.1660000000000004</v>
      </c>
      <c r="J6" s="3">
        <f t="shared" si="1"/>
        <v>1.2899355468750686</v>
      </c>
    </row>
    <row r="7" spans="1:10" x14ac:dyDescent="0.3">
      <c r="A7" s="2" t="s">
        <v>9</v>
      </c>
      <c r="B7" s="2">
        <f>B6+1</f>
        <v>36</v>
      </c>
      <c r="C7" s="2">
        <v>0</v>
      </c>
      <c r="D7" s="2">
        <v>1</v>
      </c>
      <c r="E7" s="2">
        <v>2181</v>
      </c>
      <c r="F7" s="2"/>
      <c r="G7" s="2"/>
    </row>
    <row r="8" spans="1:10" x14ac:dyDescent="0.3">
      <c r="A8" s="2" t="s">
        <v>9</v>
      </c>
      <c r="B8" s="2">
        <f t="shared" ref="B8:B10" si="2">B7+1</f>
        <v>37</v>
      </c>
      <c r="C8" s="2">
        <v>0</v>
      </c>
      <c r="D8" s="2">
        <v>1</v>
      </c>
      <c r="E8" s="2">
        <v>721</v>
      </c>
      <c r="F8" s="2"/>
      <c r="G8" s="2"/>
    </row>
    <row r="9" spans="1:10" x14ac:dyDescent="0.3">
      <c r="A9" s="2" t="s">
        <v>9</v>
      </c>
      <c r="B9" s="2">
        <f t="shared" si="2"/>
        <v>38</v>
      </c>
      <c r="C9" s="2">
        <v>0</v>
      </c>
      <c r="D9" s="2">
        <v>1</v>
      </c>
      <c r="E9" s="2">
        <v>3641</v>
      </c>
      <c r="F9" s="2"/>
      <c r="G9" s="2"/>
    </row>
    <row r="10" spans="1:10" x14ac:dyDescent="0.3">
      <c r="A10" s="2" t="s">
        <v>9</v>
      </c>
      <c r="B10" s="2">
        <f t="shared" si="2"/>
        <v>39</v>
      </c>
      <c r="C10" s="2">
        <v>0</v>
      </c>
      <c r="D10" s="2">
        <v>1</v>
      </c>
      <c r="E10" s="2">
        <v>5101</v>
      </c>
      <c r="F10" s="2"/>
      <c r="G10" s="2"/>
    </row>
    <row r="11" spans="1:10" x14ac:dyDescent="0.3">
      <c r="A11" t="s">
        <v>8</v>
      </c>
      <c r="B11" s="4">
        <f>B10+1</f>
        <v>40</v>
      </c>
      <c r="C11">
        <v>1460</v>
      </c>
      <c r="D11" s="4">
        <v>5101</v>
      </c>
      <c r="E11" s="4"/>
      <c r="F11" s="4"/>
      <c r="G11" s="2"/>
      <c r="H11" s="2"/>
      <c r="J11" s="3"/>
    </row>
    <row r="12" spans="1:10" x14ac:dyDescent="0.3">
      <c r="A12" t="s">
        <v>8</v>
      </c>
      <c r="B12" s="4">
        <f t="shared" ref="B12:B19" si="3">B11+1</f>
        <v>41</v>
      </c>
      <c r="C12">
        <v>1460</v>
      </c>
      <c r="D12">
        <f>D11+C11</f>
        <v>6561</v>
      </c>
      <c r="E12" s="4"/>
    </row>
    <row r="13" spans="1:10" x14ac:dyDescent="0.3">
      <c r="A13" t="s">
        <v>8</v>
      </c>
      <c r="B13" s="4">
        <f t="shared" si="3"/>
        <v>42</v>
      </c>
      <c r="C13">
        <v>1460</v>
      </c>
      <c r="D13">
        <f t="shared" ref="D13:D19" si="4">D12+C12</f>
        <v>8021</v>
      </c>
      <c r="E13" s="4"/>
    </row>
    <row r="14" spans="1:10" x14ac:dyDescent="0.3">
      <c r="A14" t="s">
        <v>8</v>
      </c>
      <c r="B14" s="4">
        <f t="shared" si="3"/>
        <v>43</v>
      </c>
      <c r="C14">
        <v>1460</v>
      </c>
      <c r="D14">
        <f t="shared" si="4"/>
        <v>9481</v>
      </c>
    </row>
    <row r="15" spans="1:10" x14ac:dyDescent="0.3">
      <c r="A15" t="s">
        <v>8</v>
      </c>
      <c r="B15" s="4">
        <f t="shared" si="3"/>
        <v>44</v>
      </c>
      <c r="C15">
        <v>1460</v>
      </c>
      <c r="D15">
        <f t="shared" si="4"/>
        <v>10941</v>
      </c>
    </row>
    <row r="16" spans="1:10" x14ac:dyDescent="0.3">
      <c r="A16" t="s">
        <v>8</v>
      </c>
      <c r="B16" s="4">
        <f t="shared" si="3"/>
        <v>45</v>
      </c>
      <c r="C16">
        <v>1460</v>
      </c>
      <c r="D16">
        <f t="shared" si="4"/>
        <v>12401</v>
      </c>
    </row>
    <row r="17" spans="1:4" x14ac:dyDescent="0.3">
      <c r="A17" t="s">
        <v>8</v>
      </c>
      <c r="B17" s="4">
        <f t="shared" si="3"/>
        <v>46</v>
      </c>
      <c r="C17">
        <v>1460</v>
      </c>
      <c r="D17">
        <f t="shared" si="4"/>
        <v>13861</v>
      </c>
    </row>
    <row r="18" spans="1:4" x14ac:dyDescent="0.3">
      <c r="A18" t="s">
        <v>8</v>
      </c>
      <c r="B18" s="4">
        <f t="shared" si="3"/>
        <v>47</v>
      </c>
      <c r="C18">
        <v>1460</v>
      </c>
      <c r="D18">
        <f t="shared" si="4"/>
        <v>15321</v>
      </c>
    </row>
    <row r="19" spans="1:4" x14ac:dyDescent="0.3">
      <c r="A19" t="s">
        <v>8</v>
      </c>
      <c r="B19" s="4">
        <f t="shared" si="3"/>
        <v>48</v>
      </c>
      <c r="C19">
        <v>1460</v>
      </c>
      <c r="D19">
        <f t="shared" si="4"/>
        <v>16781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48"/>
  <sheetViews>
    <sheetView tabSelected="1" topLeftCell="A61" zoomScale="110" zoomScaleNormal="110" workbookViewId="0">
      <selection activeCell="M143" sqref="M143"/>
    </sheetView>
  </sheetViews>
  <sheetFormatPr defaultRowHeight="15" x14ac:dyDescent="0.25"/>
  <cols>
    <col min="2" max="2" width="9.85546875" bestFit="1" customWidth="1"/>
    <col min="5" max="5" width="9" bestFit="1" customWidth="1"/>
    <col min="6" max="6" width="12.28515625" bestFit="1" customWidth="1"/>
    <col min="7" max="7" width="11.5703125" customWidth="1"/>
    <col min="8" max="8" width="10.28515625" customWidth="1"/>
    <col min="9" max="9" width="11" customWidth="1"/>
    <col min="10" max="10" width="11.85546875" customWidth="1"/>
    <col min="11" max="11" width="12.7109375" bestFit="1" customWidth="1"/>
    <col min="13" max="13" width="13.140625" bestFit="1" customWidth="1"/>
  </cols>
  <sheetData>
    <row r="2" spans="1:13" ht="15.75" thickBot="1" x14ac:dyDescent="0.3">
      <c r="A2" s="1" t="s">
        <v>7</v>
      </c>
      <c r="B2" s="1" t="s">
        <v>0</v>
      </c>
      <c r="C2" s="1" t="s">
        <v>4</v>
      </c>
      <c r="D2" s="1" t="s">
        <v>5</v>
      </c>
      <c r="E2" s="1" t="s">
        <v>6</v>
      </c>
      <c r="F2" s="1" t="s">
        <v>1</v>
      </c>
      <c r="G2" s="1" t="s">
        <v>6</v>
      </c>
      <c r="H2" s="1" t="s">
        <v>11</v>
      </c>
      <c r="I2" s="1" t="s">
        <v>2</v>
      </c>
      <c r="J2" s="1" t="s">
        <v>10</v>
      </c>
      <c r="K2" s="1" t="s">
        <v>3</v>
      </c>
      <c r="M2" s="1" t="s">
        <v>64</v>
      </c>
    </row>
    <row r="3" spans="1:13" x14ac:dyDescent="0.25">
      <c r="A3" t="s">
        <v>8</v>
      </c>
      <c r="B3">
        <v>32</v>
      </c>
      <c r="C3">
        <v>720</v>
      </c>
      <c r="D3">
        <v>1</v>
      </c>
      <c r="E3">
        <v>1</v>
      </c>
      <c r="F3">
        <v>3.6127560000000001</v>
      </c>
      <c r="G3" s="5">
        <v>2181</v>
      </c>
      <c r="H3" s="2">
        <f>1460+721</f>
        <v>2181</v>
      </c>
      <c r="I3" s="2">
        <v>3.6141070000000002</v>
      </c>
      <c r="J3">
        <f>(I3-F3)*1000</f>
        <v>1.3510000000001021</v>
      </c>
      <c r="K3" s="3">
        <f>(0.875*J3)+(0.125*J3)</f>
        <v>1.3510000000001021</v>
      </c>
      <c r="M3">
        <v>720</v>
      </c>
    </row>
    <row r="4" spans="1:13" x14ac:dyDescent="0.25">
      <c r="A4" t="s">
        <v>8</v>
      </c>
      <c r="B4">
        <v>33</v>
      </c>
      <c r="C4">
        <v>1460</v>
      </c>
      <c r="D4">
        <f>D3+C3</f>
        <v>721</v>
      </c>
      <c r="E4">
        <v>1</v>
      </c>
      <c r="F4">
        <v>3.6129410000000002</v>
      </c>
      <c r="G4" s="6">
        <v>721</v>
      </c>
      <c r="H4" s="2" t="s">
        <v>12</v>
      </c>
      <c r="I4" s="2">
        <v>3.6141070000000002</v>
      </c>
      <c r="J4">
        <f t="shared" ref="J4:J6" si="0">(I4-F4)*1000</f>
        <v>1.1660000000000004</v>
      </c>
      <c r="K4" s="3">
        <f>(0.875*K3)+(0.125*J4)</f>
        <v>1.3278750000000894</v>
      </c>
      <c r="M4">
        <f>M3+1460</f>
        <v>2180</v>
      </c>
    </row>
    <row r="5" spans="1:13" x14ac:dyDescent="0.25">
      <c r="A5" t="s">
        <v>8</v>
      </c>
      <c r="B5">
        <v>34</v>
      </c>
      <c r="C5">
        <v>1460</v>
      </c>
      <c r="D5">
        <f>D4+C4</f>
        <v>2181</v>
      </c>
      <c r="E5">
        <v>1</v>
      </c>
      <c r="F5">
        <v>3.6129410000000002</v>
      </c>
      <c r="G5" s="6">
        <v>3641</v>
      </c>
      <c r="H5" s="2">
        <f>G5-G3</f>
        <v>1460</v>
      </c>
      <c r="I5" s="2">
        <v>3.6141070000000002</v>
      </c>
      <c r="J5">
        <f t="shared" si="0"/>
        <v>1.1660000000000004</v>
      </c>
      <c r="K5" s="3">
        <f t="shared" ref="K5:K6" si="1">(0.875*K4)+(0.125*J5)</f>
        <v>1.3076406250000783</v>
      </c>
      <c r="M5">
        <f>M4+1460</f>
        <v>3640</v>
      </c>
    </row>
    <row r="6" spans="1:13" ht="15.75" thickBot="1" x14ac:dyDescent="0.3">
      <c r="A6" t="s">
        <v>8</v>
      </c>
      <c r="B6">
        <v>35</v>
      </c>
      <c r="C6">
        <v>1460</v>
      </c>
      <c r="D6">
        <f>D5+C5</f>
        <v>3641</v>
      </c>
      <c r="E6">
        <v>1</v>
      </c>
      <c r="F6">
        <v>3.6129410000000002</v>
      </c>
      <c r="G6" s="7">
        <v>5101</v>
      </c>
      <c r="H6" s="2">
        <f>G6-G5</f>
        <v>1460</v>
      </c>
      <c r="I6" s="2">
        <v>3.6141070000000002</v>
      </c>
      <c r="J6">
        <f t="shared" si="0"/>
        <v>1.1660000000000004</v>
      </c>
      <c r="K6" s="3">
        <f t="shared" si="1"/>
        <v>1.2899355468750686</v>
      </c>
      <c r="M6">
        <f>M5+1460</f>
        <v>5100</v>
      </c>
    </row>
    <row r="7" spans="1:13" x14ac:dyDescent="0.25">
      <c r="A7" s="2" t="s">
        <v>9</v>
      </c>
      <c r="B7" s="2">
        <v>36</v>
      </c>
      <c r="C7" s="2">
        <v>0</v>
      </c>
      <c r="D7" s="2">
        <v>1</v>
      </c>
      <c r="E7" s="5">
        <v>2181</v>
      </c>
      <c r="F7" s="2">
        <v>3.6141070000000002</v>
      </c>
      <c r="G7" s="9" t="s">
        <v>14</v>
      </c>
      <c r="H7" s="2"/>
      <c r="M7" s="2">
        <f>M6-1460-720</f>
        <v>2920</v>
      </c>
    </row>
    <row r="8" spans="1:13" x14ac:dyDescent="0.25">
      <c r="A8" s="2" t="s">
        <v>9</v>
      </c>
      <c r="B8" s="2">
        <v>37</v>
      </c>
      <c r="C8" s="2">
        <v>0</v>
      </c>
      <c r="D8" s="2">
        <v>1</v>
      </c>
      <c r="E8" s="6">
        <v>721</v>
      </c>
      <c r="F8" s="2">
        <v>3.6141070000000002</v>
      </c>
      <c r="G8" s="9" t="s">
        <v>13</v>
      </c>
      <c r="H8" s="2"/>
      <c r="M8" s="2"/>
    </row>
    <row r="9" spans="1:13" x14ac:dyDescent="0.25">
      <c r="A9" s="2" t="s">
        <v>9</v>
      </c>
      <c r="B9" s="2">
        <v>38</v>
      </c>
      <c r="C9" s="2">
        <v>0</v>
      </c>
      <c r="D9" s="2">
        <v>1</v>
      </c>
      <c r="E9" s="6">
        <v>3641</v>
      </c>
      <c r="F9" s="2">
        <v>3.6141070000000002</v>
      </c>
      <c r="G9" s="9" t="s">
        <v>15</v>
      </c>
      <c r="H9" s="2"/>
      <c r="M9" s="2">
        <f>M7-1460</f>
        <v>1460</v>
      </c>
    </row>
    <row r="10" spans="1:13" ht="15.75" thickBot="1" x14ac:dyDescent="0.3">
      <c r="A10" s="2" t="s">
        <v>9</v>
      </c>
      <c r="B10" s="2">
        <v>39</v>
      </c>
      <c r="C10" s="2">
        <v>0</v>
      </c>
      <c r="D10" s="2">
        <v>1</v>
      </c>
      <c r="E10" s="7">
        <v>5101</v>
      </c>
      <c r="F10" s="2">
        <v>3.6141070000000002</v>
      </c>
      <c r="G10" s="9" t="s">
        <v>16</v>
      </c>
      <c r="H10" s="2"/>
      <c r="M10" s="2">
        <f>M9-1460</f>
        <v>0</v>
      </c>
    </row>
    <row r="11" spans="1:13" ht="15.75" thickBot="1" x14ac:dyDescent="0.3">
      <c r="A11" t="s">
        <v>8</v>
      </c>
      <c r="B11">
        <v>40</v>
      </c>
      <c r="C11">
        <v>1460</v>
      </c>
      <c r="D11">
        <f>D6+C6</f>
        <v>5101</v>
      </c>
      <c r="E11">
        <v>1</v>
      </c>
      <c r="F11" s="4">
        <v>3.6142949999999998</v>
      </c>
      <c r="G11" s="8">
        <v>6561</v>
      </c>
      <c r="H11" s="2">
        <f>G11-G6</f>
        <v>1460</v>
      </c>
      <c r="I11" s="2">
        <v>3.615151</v>
      </c>
      <c r="J11">
        <f t="shared" ref="J11" si="2">(I11-F11)*1000</f>
        <v>0.85600000000018994</v>
      </c>
      <c r="K11" s="3">
        <f>(0.875*K6)+(0.125*J11)</f>
        <v>1.2356936035157089</v>
      </c>
      <c r="M11">
        <f>M10+1460</f>
        <v>1460</v>
      </c>
    </row>
    <row r="12" spans="1:13" x14ac:dyDescent="0.25">
      <c r="A12" t="s">
        <v>8</v>
      </c>
      <c r="B12">
        <v>41</v>
      </c>
      <c r="C12">
        <v>1460</v>
      </c>
      <c r="D12">
        <f>D11+C11</f>
        <v>6561</v>
      </c>
      <c r="E12">
        <v>1</v>
      </c>
      <c r="F12" s="4">
        <v>3.6142949999999998</v>
      </c>
      <c r="G12" s="5">
        <v>8021</v>
      </c>
      <c r="H12" s="2">
        <f>G12-G11</f>
        <v>1460</v>
      </c>
      <c r="I12" s="2">
        <v>3.6161430000000001</v>
      </c>
      <c r="J12">
        <f t="shared" ref="J12:J19" si="3">(I12-F12)*1000</f>
        <v>1.8480000000002939</v>
      </c>
      <c r="K12" s="3">
        <f t="shared" ref="K12:K19" si="4">(0.875*K11)+(0.125*J12)</f>
        <v>1.3122319030762819</v>
      </c>
      <c r="M12">
        <f>M11+1460</f>
        <v>2920</v>
      </c>
    </row>
    <row r="13" spans="1:13" x14ac:dyDescent="0.25">
      <c r="A13" t="s">
        <v>8</v>
      </c>
      <c r="B13">
        <v>42</v>
      </c>
      <c r="C13">
        <v>1460</v>
      </c>
      <c r="D13">
        <f t="shared" ref="D13:D19" si="5">D12+C12</f>
        <v>8021</v>
      </c>
      <c r="E13">
        <v>1</v>
      </c>
      <c r="F13" s="4">
        <v>3.6142949999999998</v>
      </c>
      <c r="G13" s="6">
        <v>9481</v>
      </c>
      <c r="H13" s="2">
        <f t="shared" ref="H13:H19" si="6">G13-G12</f>
        <v>1460</v>
      </c>
      <c r="I13" s="2">
        <v>3.6161430000000001</v>
      </c>
      <c r="J13">
        <f t="shared" si="3"/>
        <v>1.8480000000002939</v>
      </c>
      <c r="K13" s="3">
        <f t="shared" si="4"/>
        <v>1.3792029151917835</v>
      </c>
      <c r="M13">
        <f t="shared" ref="M13:M19" si="7">M12+1460</f>
        <v>4380</v>
      </c>
    </row>
    <row r="14" spans="1:13" x14ac:dyDescent="0.25">
      <c r="A14" t="s">
        <v>8</v>
      </c>
      <c r="B14">
        <v>43</v>
      </c>
      <c r="C14">
        <v>1460</v>
      </c>
      <c r="D14">
        <f t="shared" si="5"/>
        <v>9481</v>
      </c>
      <c r="E14">
        <v>1</v>
      </c>
      <c r="F14" s="4">
        <v>3.6142949999999998</v>
      </c>
      <c r="G14" s="6">
        <v>10941</v>
      </c>
      <c r="H14" s="2">
        <f t="shared" si="6"/>
        <v>1460</v>
      </c>
      <c r="I14" s="2">
        <v>3.6161430000000001</v>
      </c>
      <c r="J14">
        <f t="shared" si="3"/>
        <v>1.8480000000002939</v>
      </c>
      <c r="K14" s="3">
        <f t="shared" si="4"/>
        <v>1.4378025507928474</v>
      </c>
      <c r="M14">
        <f t="shared" si="7"/>
        <v>5840</v>
      </c>
    </row>
    <row r="15" spans="1:13" x14ac:dyDescent="0.25">
      <c r="A15" t="s">
        <v>8</v>
      </c>
      <c r="B15">
        <v>44</v>
      </c>
      <c r="C15">
        <v>1460</v>
      </c>
      <c r="D15">
        <f t="shared" si="5"/>
        <v>10941</v>
      </c>
      <c r="E15">
        <v>1</v>
      </c>
      <c r="F15" s="4">
        <v>3.6142949999999998</v>
      </c>
      <c r="G15" s="6">
        <v>12401</v>
      </c>
      <c r="H15" s="2">
        <f t="shared" si="6"/>
        <v>1460</v>
      </c>
      <c r="I15" s="2">
        <v>3.6161430000000001</v>
      </c>
      <c r="J15">
        <f t="shared" si="3"/>
        <v>1.8480000000002939</v>
      </c>
      <c r="K15" s="3">
        <f t="shared" si="4"/>
        <v>1.4890772319437782</v>
      </c>
      <c r="M15">
        <f t="shared" si="7"/>
        <v>7300</v>
      </c>
    </row>
    <row r="16" spans="1:13" x14ac:dyDescent="0.25">
      <c r="A16" t="s">
        <v>8</v>
      </c>
      <c r="B16">
        <v>45</v>
      </c>
      <c r="C16">
        <v>1460</v>
      </c>
      <c r="D16">
        <f t="shared" si="5"/>
        <v>12401</v>
      </c>
      <c r="E16">
        <v>1</v>
      </c>
      <c r="F16" s="4">
        <v>3.6142949999999998</v>
      </c>
      <c r="G16" s="6">
        <v>13861</v>
      </c>
      <c r="H16" s="2">
        <f t="shared" si="6"/>
        <v>1460</v>
      </c>
      <c r="I16" s="2">
        <v>3.6161430000000001</v>
      </c>
      <c r="J16">
        <f t="shared" si="3"/>
        <v>1.8480000000002939</v>
      </c>
      <c r="K16" s="3">
        <f t="shared" si="4"/>
        <v>1.5339425779508427</v>
      </c>
      <c r="M16">
        <f t="shared" si="7"/>
        <v>8760</v>
      </c>
    </row>
    <row r="17" spans="1:13" x14ac:dyDescent="0.25">
      <c r="A17" t="s">
        <v>8</v>
      </c>
      <c r="B17">
        <v>46</v>
      </c>
      <c r="C17">
        <v>1460</v>
      </c>
      <c r="D17">
        <f t="shared" si="5"/>
        <v>13861</v>
      </c>
      <c r="E17">
        <v>1</v>
      </c>
      <c r="F17" s="4">
        <v>3.6142949999999998</v>
      </c>
      <c r="G17" s="6">
        <v>15321</v>
      </c>
      <c r="H17" s="2">
        <f t="shared" si="6"/>
        <v>1460</v>
      </c>
      <c r="I17" s="2">
        <v>3.6161430000000001</v>
      </c>
      <c r="J17">
        <f t="shared" si="3"/>
        <v>1.8480000000002939</v>
      </c>
      <c r="K17" s="3">
        <f t="shared" si="4"/>
        <v>1.5731997557070241</v>
      </c>
      <c r="M17">
        <f t="shared" si="7"/>
        <v>10220</v>
      </c>
    </row>
    <row r="18" spans="1:13" x14ac:dyDescent="0.25">
      <c r="A18" t="s">
        <v>8</v>
      </c>
      <c r="B18">
        <v>47</v>
      </c>
      <c r="C18">
        <v>1460</v>
      </c>
      <c r="D18">
        <f t="shared" si="5"/>
        <v>15321</v>
      </c>
      <c r="E18">
        <v>1</v>
      </c>
      <c r="F18" s="4">
        <v>3.6142949999999998</v>
      </c>
      <c r="G18" s="6">
        <v>16781</v>
      </c>
      <c r="H18" s="2">
        <f t="shared" si="6"/>
        <v>1460</v>
      </c>
      <c r="I18" s="2">
        <v>3.6161430000000001</v>
      </c>
      <c r="J18">
        <f t="shared" si="3"/>
        <v>1.8480000000002939</v>
      </c>
      <c r="K18" s="3">
        <f t="shared" si="4"/>
        <v>1.6075497862436827</v>
      </c>
      <c r="M18">
        <f t="shared" si="7"/>
        <v>11680</v>
      </c>
    </row>
    <row r="19" spans="1:13" ht="15.75" thickBot="1" x14ac:dyDescent="0.3">
      <c r="A19" t="s">
        <v>8</v>
      </c>
      <c r="B19">
        <v>48</v>
      </c>
      <c r="C19">
        <v>1460</v>
      </c>
      <c r="D19">
        <f t="shared" si="5"/>
        <v>16781</v>
      </c>
      <c r="E19">
        <v>1</v>
      </c>
      <c r="F19" s="4">
        <v>3.6142949999999998</v>
      </c>
      <c r="G19" s="7">
        <v>18241</v>
      </c>
      <c r="H19" s="2">
        <f t="shared" si="6"/>
        <v>1460</v>
      </c>
      <c r="I19" s="2">
        <v>3.6161430000000001</v>
      </c>
      <c r="J19">
        <f t="shared" si="3"/>
        <v>1.8480000000002939</v>
      </c>
      <c r="K19" s="3">
        <f t="shared" si="4"/>
        <v>1.6376060629632592</v>
      </c>
      <c r="M19">
        <f t="shared" si="7"/>
        <v>13140</v>
      </c>
    </row>
    <row r="20" spans="1:13" ht="15.75" thickBot="1" x14ac:dyDescent="0.3">
      <c r="A20" s="2" t="s">
        <v>9</v>
      </c>
      <c r="B20" s="2">
        <v>49</v>
      </c>
      <c r="C20" s="2">
        <v>0</v>
      </c>
      <c r="D20" s="2">
        <v>1</v>
      </c>
      <c r="E20" s="8">
        <v>6561</v>
      </c>
      <c r="F20" s="2">
        <v>3.615151</v>
      </c>
      <c r="G20" s="9" t="s">
        <v>17</v>
      </c>
      <c r="H20" s="2"/>
      <c r="M20" s="2">
        <f>M19-1460</f>
        <v>11680</v>
      </c>
    </row>
    <row r="21" spans="1:13" x14ac:dyDescent="0.25">
      <c r="A21" t="s">
        <v>8</v>
      </c>
      <c r="B21">
        <v>50</v>
      </c>
      <c r="C21">
        <v>1460</v>
      </c>
      <c r="D21">
        <f>D19+C19</f>
        <v>18241</v>
      </c>
      <c r="E21">
        <v>1</v>
      </c>
      <c r="F21" s="4">
        <v>3.615224</v>
      </c>
      <c r="G21" s="5">
        <v>19701</v>
      </c>
      <c r="H21" s="2">
        <f>G21-G19</f>
        <v>1460</v>
      </c>
      <c r="M21">
        <f>M20+1460</f>
        <v>13140</v>
      </c>
    </row>
    <row r="22" spans="1:13" x14ac:dyDescent="0.25">
      <c r="A22" t="s">
        <v>8</v>
      </c>
      <c r="B22">
        <v>51</v>
      </c>
      <c r="C22">
        <v>1460</v>
      </c>
      <c r="D22">
        <f t="shared" ref="D22:D23" si="8">D21+C21</f>
        <v>19701</v>
      </c>
      <c r="E22">
        <v>1</v>
      </c>
      <c r="F22" s="4">
        <v>3.615224</v>
      </c>
      <c r="G22" s="6">
        <v>21161</v>
      </c>
      <c r="H22" s="2">
        <f>G22-G21</f>
        <v>1460</v>
      </c>
      <c r="M22">
        <f t="shared" ref="M22:M23" si="9">M21+1460</f>
        <v>14600</v>
      </c>
    </row>
    <row r="23" spans="1:13" ht="15.75" thickBot="1" x14ac:dyDescent="0.3">
      <c r="A23" t="s">
        <v>8</v>
      </c>
      <c r="B23">
        <v>52</v>
      </c>
      <c r="C23">
        <v>1460</v>
      </c>
      <c r="D23">
        <f t="shared" si="8"/>
        <v>21161</v>
      </c>
      <c r="E23">
        <v>1</v>
      </c>
      <c r="F23" s="4">
        <v>3.615224</v>
      </c>
      <c r="G23" s="7">
        <v>22621</v>
      </c>
      <c r="H23" s="2">
        <f>G23-G22</f>
        <v>1460</v>
      </c>
      <c r="M23">
        <f t="shared" si="9"/>
        <v>16060</v>
      </c>
    </row>
    <row r="24" spans="1:13" x14ac:dyDescent="0.25">
      <c r="A24" s="2" t="s">
        <v>9</v>
      </c>
      <c r="B24" s="2">
        <v>53</v>
      </c>
      <c r="C24" s="2">
        <v>0</v>
      </c>
      <c r="D24" s="2">
        <v>1</v>
      </c>
      <c r="E24" s="5">
        <v>8021</v>
      </c>
      <c r="F24" s="2">
        <v>3.6161430000000001</v>
      </c>
      <c r="G24" s="9" t="s">
        <v>18</v>
      </c>
      <c r="H24" s="2"/>
      <c r="M24" s="2">
        <f>M23-1460</f>
        <v>14600</v>
      </c>
    </row>
    <row r="25" spans="1:13" x14ac:dyDescent="0.25">
      <c r="A25" s="2" t="s">
        <v>9</v>
      </c>
      <c r="B25" s="2">
        <v>54</v>
      </c>
      <c r="C25" s="2">
        <v>0</v>
      </c>
      <c r="D25" s="2">
        <v>1</v>
      </c>
      <c r="E25" s="6">
        <v>9481</v>
      </c>
      <c r="F25" s="2">
        <v>3.6161430000000001</v>
      </c>
      <c r="G25" s="9" t="s">
        <v>20</v>
      </c>
      <c r="H25" s="2"/>
      <c r="M25" s="2">
        <f t="shared" ref="M25:M31" si="10">M24-1460</f>
        <v>13140</v>
      </c>
    </row>
    <row r="26" spans="1:13" x14ac:dyDescent="0.25">
      <c r="A26" s="2" t="s">
        <v>9</v>
      </c>
      <c r="B26" s="2">
        <v>55</v>
      </c>
      <c r="C26" s="2">
        <v>0</v>
      </c>
      <c r="D26" s="2">
        <v>1</v>
      </c>
      <c r="E26" s="6">
        <v>10941</v>
      </c>
      <c r="F26" s="2">
        <v>3.6161430000000001</v>
      </c>
      <c r="G26" s="9" t="s">
        <v>21</v>
      </c>
      <c r="H26" s="2"/>
      <c r="M26" s="2">
        <f t="shared" si="10"/>
        <v>11680</v>
      </c>
    </row>
    <row r="27" spans="1:13" x14ac:dyDescent="0.25">
      <c r="A27" s="2" t="s">
        <v>9</v>
      </c>
      <c r="B27" s="2">
        <v>56</v>
      </c>
      <c r="C27" s="2">
        <v>0</v>
      </c>
      <c r="D27" s="2">
        <v>1</v>
      </c>
      <c r="E27" s="6">
        <v>12401</v>
      </c>
      <c r="F27" s="2">
        <v>3.6161430000000001</v>
      </c>
      <c r="G27" s="9" t="s">
        <v>22</v>
      </c>
      <c r="H27" s="2"/>
      <c r="M27" s="2">
        <f t="shared" si="10"/>
        <v>10220</v>
      </c>
    </row>
    <row r="28" spans="1:13" x14ac:dyDescent="0.25">
      <c r="A28" s="2" t="s">
        <v>9</v>
      </c>
      <c r="B28" s="2">
        <v>57</v>
      </c>
      <c r="C28" s="2">
        <v>0</v>
      </c>
      <c r="D28" s="2">
        <v>1</v>
      </c>
      <c r="E28" s="6">
        <v>13861</v>
      </c>
      <c r="F28" s="2">
        <v>3.6161430000000001</v>
      </c>
      <c r="G28" s="9" t="s">
        <v>23</v>
      </c>
      <c r="H28" s="2"/>
      <c r="M28" s="2">
        <f t="shared" si="10"/>
        <v>8760</v>
      </c>
    </row>
    <row r="29" spans="1:13" x14ac:dyDescent="0.25">
      <c r="A29" s="2" t="s">
        <v>9</v>
      </c>
      <c r="B29" s="2">
        <v>58</v>
      </c>
      <c r="C29" s="2">
        <v>0</v>
      </c>
      <c r="D29" s="2">
        <v>1</v>
      </c>
      <c r="E29" s="6">
        <v>15321</v>
      </c>
      <c r="F29" s="2">
        <v>3.6161430000000001</v>
      </c>
      <c r="G29" s="9" t="s">
        <v>24</v>
      </c>
      <c r="H29" s="2"/>
      <c r="M29" s="2">
        <f t="shared" si="10"/>
        <v>7300</v>
      </c>
    </row>
    <row r="30" spans="1:13" x14ac:dyDescent="0.25">
      <c r="A30" s="2" t="s">
        <v>9</v>
      </c>
      <c r="B30" s="2">
        <v>59</v>
      </c>
      <c r="C30" s="2">
        <v>0</v>
      </c>
      <c r="D30" s="2">
        <v>1</v>
      </c>
      <c r="E30" s="6">
        <v>16781</v>
      </c>
      <c r="F30" s="2">
        <v>3.6161430000000001</v>
      </c>
      <c r="G30" s="9" t="s">
        <v>25</v>
      </c>
      <c r="H30" s="2"/>
      <c r="M30" s="2">
        <f t="shared" si="10"/>
        <v>5840</v>
      </c>
    </row>
    <row r="31" spans="1:13" ht="15.75" thickBot="1" x14ac:dyDescent="0.3">
      <c r="A31" s="2" t="s">
        <v>9</v>
      </c>
      <c r="B31" s="2">
        <v>60</v>
      </c>
      <c r="C31" s="2">
        <v>0</v>
      </c>
      <c r="D31" s="2">
        <v>1</v>
      </c>
      <c r="E31" s="7">
        <v>18241</v>
      </c>
      <c r="F31" s="2">
        <v>3.6161430000000001</v>
      </c>
      <c r="G31" s="9" t="s">
        <v>19</v>
      </c>
      <c r="H31" s="2"/>
      <c r="M31" s="2">
        <f t="shared" si="10"/>
        <v>4380</v>
      </c>
    </row>
    <row r="32" spans="1:13" x14ac:dyDescent="0.25">
      <c r="A32" s="4"/>
      <c r="B32" s="4">
        <v>61</v>
      </c>
      <c r="C32">
        <v>1460</v>
      </c>
      <c r="D32" s="4">
        <v>22621</v>
      </c>
      <c r="E32">
        <v>1</v>
      </c>
      <c r="F32" s="4"/>
      <c r="G32" s="5">
        <v>24081</v>
      </c>
      <c r="H32" s="2">
        <f>G32-G23</f>
        <v>1460</v>
      </c>
      <c r="I32" s="4"/>
      <c r="J32" s="4"/>
      <c r="K32" s="4"/>
      <c r="M32" s="4">
        <f>M31+1460</f>
        <v>5840</v>
      </c>
    </row>
    <row r="33" spans="1:13" x14ac:dyDescent="0.25">
      <c r="A33" s="4"/>
      <c r="B33" s="4">
        <v>62</v>
      </c>
      <c r="C33">
        <v>1460</v>
      </c>
      <c r="D33">
        <f t="shared" ref="D33:D47" si="11">D32+C32</f>
        <v>24081</v>
      </c>
      <c r="E33">
        <v>1</v>
      </c>
      <c r="F33" s="4"/>
      <c r="G33" s="6">
        <v>25541</v>
      </c>
      <c r="H33" s="2">
        <f t="shared" ref="H33:H35" si="12">G33-G32</f>
        <v>1460</v>
      </c>
      <c r="I33" s="4"/>
      <c r="J33" s="4"/>
      <c r="K33" s="4"/>
      <c r="M33" s="4">
        <f t="shared" ref="M33:M47" si="13">M32+1460</f>
        <v>7300</v>
      </c>
    </row>
    <row r="34" spans="1:13" x14ac:dyDescent="0.25">
      <c r="A34" s="4"/>
      <c r="B34" s="4">
        <v>63</v>
      </c>
      <c r="C34">
        <v>1460</v>
      </c>
      <c r="D34">
        <f t="shared" si="11"/>
        <v>25541</v>
      </c>
      <c r="E34">
        <v>1</v>
      </c>
      <c r="F34" s="4"/>
      <c r="G34" s="6">
        <v>27001</v>
      </c>
      <c r="H34" s="2">
        <f t="shared" si="12"/>
        <v>1460</v>
      </c>
      <c r="I34" s="4"/>
      <c r="J34" s="4"/>
      <c r="K34" s="4"/>
      <c r="M34" s="4">
        <f t="shared" si="13"/>
        <v>8760</v>
      </c>
    </row>
    <row r="35" spans="1:13" x14ac:dyDescent="0.25">
      <c r="A35" s="4"/>
      <c r="B35" s="4">
        <v>64</v>
      </c>
      <c r="C35">
        <v>1460</v>
      </c>
      <c r="D35">
        <f t="shared" si="11"/>
        <v>27001</v>
      </c>
      <c r="E35">
        <v>1</v>
      </c>
      <c r="F35" s="4"/>
      <c r="G35" s="6">
        <v>28461</v>
      </c>
      <c r="H35" s="2">
        <f t="shared" si="12"/>
        <v>1460</v>
      </c>
      <c r="I35" s="4"/>
      <c r="J35" s="4"/>
      <c r="K35" s="4"/>
      <c r="M35" s="4">
        <f t="shared" si="13"/>
        <v>10220</v>
      </c>
    </row>
    <row r="36" spans="1:13" ht="15.75" thickBot="1" x14ac:dyDescent="0.3">
      <c r="A36" s="4"/>
      <c r="B36" s="4">
        <v>65</v>
      </c>
      <c r="C36">
        <v>1460</v>
      </c>
      <c r="D36">
        <f t="shared" si="11"/>
        <v>28461</v>
      </c>
      <c r="E36">
        <v>1</v>
      </c>
      <c r="F36" s="4"/>
      <c r="G36" s="7">
        <v>29921</v>
      </c>
      <c r="H36" s="2">
        <f>G36-G35</f>
        <v>1460</v>
      </c>
      <c r="I36" s="4"/>
      <c r="J36" s="4"/>
      <c r="K36" s="4"/>
      <c r="M36" s="4">
        <f t="shared" si="13"/>
        <v>11680</v>
      </c>
    </row>
    <row r="37" spans="1:13" x14ac:dyDescent="0.25">
      <c r="A37" s="4"/>
      <c r="B37" s="4">
        <v>66</v>
      </c>
      <c r="C37">
        <v>1460</v>
      </c>
      <c r="D37">
        <f t="shared" si="11"/>
        <v>29921</v>
      </c>
      <c r="E37">
        <v>1</v>
      </c>
      <c r="F37" s="4"/>
      <c r="G37" s="5">
        <v>31381</v>
      </c>
      <c r="H37" s="2">
        <f t="shared" ref="H37:H47" si="14">G37-G36</f>
        <v>1460</v>
      </c>
      <c r="I37" s="4"/>
      <c r="J37" s="4"/>
      <c r="K37" s="4"/>
      <c r="M37" s="4">
        <f t="shared" si="13"/>
        <v>13140</v>
      </c>
    </row>
    <row r="38" spans="1:13" x14ac:dyDescent="0.25">
      <c r="A38" s="4"/>
      <c r="B38" s="4">
        <v>67</v>
      </c>
      <c r="C38">
        <v>1460</v>
      </c>
      <c r="D38">
        <f t="shared" si="11"/>
        <v>31381</v>
      </c>
      <c r="E38">
        <v>1</v>
      </c>
      <c r="F38" s="4"/>
      <c r="G38" s="6">
        <v>32841</v>
      </c>
      <c r="H38" s="2">
        <f t="shared" si="14"/>
        <v>1460</v>
      </c>
      <c r="I38" s="4"/>
      <c r="J38" s="4"/>
      <c r="K38" s="4"/>
      <c r="M38" s="4">
        <f t="shared" si="13"/>
        <v>14600</v>
      </c>
    </row>
    <row r="39" spans="1:13" x14ac:dyDescent="0.25">
      <c r="B39" s="4">
        <v>68</v>
      </c>
      <c r="C39">
        <v>1460</v>
      </c>
      <c r="D39">
        <f t="shared" si="11"/>
        <v>32841</v>
      </c>
      <c r="E39">
        <v>1</v>
      </c>
      <c r="G39" s="6">
        <v>34301</v>
      </c>
      <c r="H39" s="2">
        <f t="shared" si="14"/>
        <v>1460</v>
      </c>
      <c r="M39" s="4">
        <f t="shared" si="13"/>
        <v>16060</v>
      </c>
    </row>
    <row r="40" spans="1:13" x14ac:dyDescent="0.25">
      <c r="B40" s="4">
        <v>69</v>
      </c>
      <c r="C40">
        <v>1460</v>
      </c>
      <c r="D40">
        <f t="shared" si="11"/>
        <v>34301</v>
      </c>
      <c r="E40">
        <v>1</v>
      </c>
      <c r="G40" s="6">
        <v>35761</v>
      </c>
      <c r="H40" s="2">
        <f t="shared" si="14"/>
        <v>1460</v>
      </c>
      <c r="M40" s="4">
        <f t="shared" si="13"/>
        <v>17520</v>
      </c>
    </row>
    <row r="41" spans="1:13" x14ac:dyDescent="0.25">
      <c r="B41" s="4">
        <v>70</v>
      </c>
      <c r="C41">
        <v>1460</v>
      </c>
      <c r="D41">
        <f t="shared" si="11"/>
        <v>35761</v>
      </c>
      <c r="E41">
        <v>1</v>
      </c>
      <c r="G41" s="6">
        <f>G40+1460</f>
        <v>37221</v>
      </c>
      <c r="H41" s="2">
        <f t="shared" si="14"/>
        <v>1460</v>
      </c>
      <c r="M41" s="4">
        <f t="shared" si="13"/>
        <v>18980</v>
      </c>
    </row>
    <row r="42" spans="1:13" x14ac:dyDescent="0.25">
      <c r="B42" s="4">
        <v>71</v>
      </c>
      <c r="C42">
        <v>1460</v>
      </c>
      <c r="D42">
        <f t="shared" si="11"/>
        <v>37221</v>
      </c>
      <c r="E42">
        <v>1</v>
      </c>
      <c r="G42" s="6">
        <f t="shared" ref="G42:G46" si="15">G41+1460</f>
        <v>38681</v>
      </c>
      <c r="H42" s="2">
        <f t="shared" si="14"/>
        <v>1460</v>
      </c>
      <c r="M42" s="4">
        <f t="shared" si="13"/>
        <v>20440</v>
      </c>
    </row>
    <row r="43" spans="1:13" x14ac:dyDescent="0.25">
      <c r="B43" s="4">
        <v>72</v>
      </c>
      <c r="C43">
        <v>1460</v>
      </c>
      <c r="D43">
        <f t="shared" si="11"/>
        <v>38681</v>
      </c>
      <c r="E43">
        <v>1</v>
      </c>
      <c r="G43" s="6">
        <f t="shared" si="15"/>
        <v>40141</v>
      </c>
      <c r="H43" s="2">
        <f t="shared" si="14"/>
        <v>1460</v>
      </c>
      <c r="M43" s="4">
        <f t="shared" si="13"/>
        <v>21900</v>
      </c>
    </row>
    <row r="44" spans="1:13" x14ac:dyDescent="0.25">
      <c r="B44" s="4">
        <v>73</v>
      </c>
      <c r="C44">
        <v>1460</v>
      </c>
      <c r="D44">
        <f t="shared" si="11"/>
        <v>40141</v>
      </c>
      <c r="E44">
        <v>1</v>
      </c>
      <c r="G44" s="6">
        <f t="shared" si="15"/>
        <v>41601</v>
      </c>
      <c r="H44" s="2">
        <f t="shared" si="14"/>
        <v>1460</v>
      </c>
      <c r="M44" s="4">
        <f t="shared" si="13"/>
        <v>23360</v>
      </c>
    </row>
    <row r="45" spans="1:13" x14ac:dyDescent="0.25">
      <c r="B45" s="4">
        <v>74</v>
      </c>
      <c r="C45">
        <v>1460</v>
      </c>
      <c r="D45">
        <f t="shared" si="11"/>
        <v>41601</v>
      </c>
      <c r="E45">
        <v>1</v>
      </c>
      <c r="G45" s="6">
        <f t="shared" si="15"/>
        <v>43061</v>
      </c>
      <c r="H45" s="2">
        <f t="shared" si="14"/>
        <v>1460</v>
      </c>
      <c r="M45" s="4">
        <f t="shared" si="13"/>
        <v>24820</v>
      </c>
    </row>
    <row r="46" spans="1:13" ht="15.75" thickBot="1" x14ac:dyDescent="0.3">
      <c r="B46" s="4">
        <v>75</v>
      </c>
      <c r="C46">
        <v>1460</v>
      </c>
      <c r="D46">
        <f t="shared" si="11"/>
        <v>43061</v>
      </c>
      <c r="E46">
        <v>1</v>
      </c>
      <c r="G46" s="7">
        <f t="shared" si="15"/>
        <v>44521</v>
      </c>
      <c r="H46" s="2">
        <f t="shared" si="14"/>
        <v>1460</v>
      </c>
      <c r="M46" s="4">
        <f t="shared" si="13"/>
        <v>26280</v>
      </c>
    </row>
    <row r="47" spans="1:13" ht="15.75" thickBot="1" x14ac:dyDescent="0.3">
      <c r="B47" s="4">
        <v>76</v>
      </c>
      <c r="C47">
        <v>1460</v>
      </c>
      <c r="D47">
        <f t="shared" si="11"/>
        <v>44521</v>
      </c>
      <c r="E47">
        <v>1</v>
      </c>
      <c r="G47" s="8">
        <v>45981</v>
      </c>
      <c r="H47" s="2">
        <f t="shared" si="14"/>
        <v>1460</v>
      </c>
      <c r="M47" s="4">
        <f t="shared" si="13"/>
        <v>27740</v>
      </c>
    </row>
    <row r="48" spans="1:13" x14ac:dyDescent="0.25">
      <c r="A48" s="2"/>
      <c r="B48" s="2">
        <v>77</v>
      </c>
      <c r="C48" s="2">
        <v>0</v>
      </c>
      <c r="D48" s="2">
        <v>1</v>
      </c>
      <c r="E48" s="5">
        <v>19701</v>
      </c>
      <c r="F48" s="2"/>
      <c r="G48" s="9" t="s">
        <v>26</v>
      </c>
      <c r="H48" s="2"/>
      <c r="I48" s="2"/>
      <c r="M48" s="2">
        <f t="shared" ref="M48:M55" si="16">M47-1460</f>
        <v>26280</v>
      </c>
    </row>
    <row r="49" spans="1:13" x14ac:dyDescent="0.25">
      <c r="A49" s="2"/>
      <c r="B49" s="2">
        <v>78</v>
      </c>
      <c r="C49" s="2">
        <v>0</v>
      </c>
      <c r="D49" s="2">
        <v>1</v>
      </c>
      <c r="E49" s="6">
        <v>21161</v>
      </c>
      <c r="F49" s="2"/>
      <c r="G49" s="9" t="s">
        <v>27</v>
      </c>
      <c r="H49" s="2"/>
      <c r="I49" s="2"/>
      <c r="M49" s="2">
        <f t="shared" si="16"/>
        <v>24820</v>
      </c>
    </row>
    <row r="50" spans="1:13" ht="15.75" thickBot="1" x14ac:dyDescent="0.3">
      <c r="A50" s="2"/>
      <c r="B50" s="2">
        <v>79</v>
      </c>
      <c r="C50" s="2">
        <v>0</v>
      </c>
      <c r="D50" s="2">
        <v>1</v>
      </c>
      <c r="E50" s="7">
        <v>22621</v>
      </c>
      <c r="F50" s="2"/>
      <c r="G50" s="9" t="s">
        <v>28</v>
      </c>
      <c r="H50" s="2"/>
      <c r="I50" s="2"/>
      <c r="M50" s="2">
        <f t="shared" si="16"/>
        <v>23360</v>
      </c>
    </row>
    <row r="51" spans="1:13" x14ac:dyDescent="0.25">
      <c r="A51" s="2"/>
      <c r="B51" s="2">
        <v>80</v>
      </c>
      <c r="C51" s="2">
        <v>0</v>
      </c>
      <c r="D51" s="2">
        <v>1</v>
      </c>
      <c r="E51" s="5">
        <v>24081</v>
      </c>
      <c r="F51" s="2"/>
      <c r="G51" s="9" t="s">
        <v>29</v>
      </c>
      <c r="H51" s="2"/>
      <c r="I51" s="2"/>
      <c r="M51" s="2">
        <f t="shared" si="16"/>
        <v>21900</v>
      </c>
    </row>
    <row r="52" spans="1:13" x14ac:dyDescent="0.25">
      <c r="A52" s="2"/>
      <c r="B52" s="2">
        <v>81</v>
      </c>
      <c r="C52" s="2">
        <v>0</v>
      </c>
      <c r="D52" s="2">
        <v>1</v>
      </c>
      <c r="E52" s="6">
        <v>25541</v>
      </c>
      <c r="F52" s="2"/>
      <c r="G52" s="9" t="s">
        <v>30</v>
      </c>
      <c r="H52" s="2"/>
      <c r="I52" s="2"/>
      <c r="M52" s="2">
        <f t="shared" si="16"/>
        <v>20440</v>
      </c>
    </row>
    <row r="53" spans="1:13" x14ac:dyDescent="0.25">
      <c r="A53" s="2"/>
      <c r="B53" s="2">
        <v>82</v>
      </c>
      <c r="C53" s="2">
        <v>0</v>
      </c>
      <c r="D53" s="2">
        <v>1</v>
      </c>
      <c r="E53" s="6">
        <v>27001</v>
      </c>
      <c r="F53" s="2"/>
      <c r="G53" s="9" t="s">
        <v>31</v>
      </c>
      <c r="H53" s="2"/>
      <c r="I53" s="2"/>
      <c r="M53" s="2">
        <f t="shared" si="16"/>
        <v>18980</v>
      </c>
    </row>
    <row r="54" spans="1:13" x14ac:dyDescent="0.25">
      <c r="A54" s="2"/>
      <c r="B54" s="2">
        <v>83</v>
      </c>
      <c r="C54" s="2">
        <v>0</v>
      </c>
      <c r="D54" s="2">
        <v>1</v>
      </c>
      <c r="E54" s="6">
        <v>28461</v>
      </c>
      <c r="F54" s="2"/>
      <c r="G54" s="9" t="s">
        <v>32</v>
      </c>
      <c r="H54" s="2"/>
      <c r="I54" s="2"/>
      <c r="M54" s="2">
        <f t="shared" si="16"/>
        <v>17520</v>
      </c>
    </row>
    <row r="55" spans="1:13" ht="15.75" thickBot="1" x14ac:dyDescent="0.3">
      <c r="A55" s="2"/>
      <c r="B55" s="2">
        <v>84</v>
      </c>
      <c r="C55" s="2">
        <v>0</v>
      </c>
      <c r="D55" s="2">
        <v>1</v>
      </c>
      <c r="E55" s="7">
        <v>29921</v>
      </c>
      <c r="F55" s="2"/>
      <c r="G55" s="9" t="s">
        <v>33</v>
      </c>
      <c r="H55" s="2"/>
      <c r="I55" s="2"/>
      <c r="M55" s="2">
        <f t="shared" si="16"/>
        <v>16060</v>
      </c>
    </row>
    <row r="56" spans="1:13" x14ac:dyDescent="0.25">
      <c r="B56" s="4">
        <v>85</v>
      </c>
      <c r="C56">
        <v>1460</v>
      </c>
      <c r="D56" s="4">
        <v>45981</v>
      </c>
      <c r="E56">
        <v>1</v>
      </c>
      <c r="F56" s="4"/>
      <c r="G56" s="5">
        <f>G47+1460</f>
        <v>47441</v>
      </c>
      <c r="H56" s="2">
        <f>G56-G47</f>
        <v>1460</v>
      </c>
      <c r="M56" s="4">
        <f t="shared" ref="M56:M71" si="17">M55+1460</f>
        <v>17520</v>
      </c>
    </row>
    <row r="57" spans="1:13" x14ac:dyDescent="0.25">
      <c r="B57" s="4">
        <v>86</v>
      </c>
      <c r="C57">
        <v>1460</v>
      </c>
      <c r="D57">
        <f t="shared" ref="D57:D71" si="18">D56+C56</f>
        <v>47441</v>
      </c>
      <c r="E57">
        <v>1</v>
      </c>
      <c r="F57" s="4"/>
      <c r="G57" s="6">
        <f t="shared" ref="G57:G60" si="19">G56+1460</f>
        <v>48901</v>
      </c>
      <c r="H57" s="2">
        <f t="shared" ref="H57:H68" si="20">G57-G56</f>
        <v>1460</v>
      </c>
      <c r="M57" s="4">
        <f t="shared" si="17"/>
        <v>18980</v>
      </c>
    </row>
    <row r="58" spans="1:13" x14ac:dyDescent="0.25">
      <c r="B58" s="4">
        <v>87</v>
      </c>
      <c r="C58">
        <v>1460</v>
      </c>
      <c r="D58">
        <f t="shared" si="18"/>
        <v>48901</v>
      </c>
      <c r="E58">
        <v>1</v>
      </c>
      <c r="F58" s="4"/>
      <c r="G58" s="6">
        <f t="shared" si="19"/>
        <v>50361</v>
      </c>
      <c r="H58" s="2">
        <f t="shared" si="20"/>
        <v>1460</v>
      </c>
      <c r="M58" s="4">
        <f t="shared" si="17"/>
        <v>20440</v>
      </c>
    </row>
    <row r="59" spans="1:13" x14ac:dyDescent="0.25">
      <c r="B59" s="4">
        <v>88</v>
      </c>
      <c r="C59">
        <v>1460</v>
      </c>
      <c r="D59">
        <f t="shared" si="18"/>
        <v>50361</v>
      </c>
      <c r="E59">
        <v>1</v>
      </c>
      <c r="F59" s="4"/>
      <c r="G59" s="6">
        <f t="shared" si="19"/>
        <v>51821</v>
      </c>
      <c r="H59" s="2">
        <f t="shared" si="20"/>
        <v>1460</v>
      </c>
      <c r="M59" s="4">
        <f t="shared" si="17"/>
        <v>21900</v>
      </c>
    </row>
    <row r="60" spans="1:13" ht="15.75" thickBot="1" x14ac:dyDescent="0.3">
      <c r="B60" s="4">
        <v>89</v>
      </c>
      <c r="C60">
        <v>1460</v>
      </c>
      <c r="D60">
        <f t="shared" si="18"/>
        <v>51821</v>
      </c>
      <c r="E60">
        <v>1</v>
      </c>
      <c r="F60" s="4"/>
      <c r="G60" s="7">
        <f t="shared" si="19"/>
        <v>53281</v>
      </c>
      <c r="H60" s="2">
        <f t="shared" si="20"/>
        <v>1460</v>
      </c>
      <c r="M60" s="4">
        <f t="shared" si="17"/>
        <v>23360</v>
      </c>
    </row>
    <row r="61" spans="1:13" x14ac:dyDescent="0.25">
      <c r="B61" s="4">
        <v>90</v>
      </c>
      <c r="C61">
        <v>1460</v>
      </c>
      <c r="D61">
        <f t="shared" si="18"/>
        <v>53281</v>
      </c>
      <c r="E61">
        <v>1</v>
      </c>
      <c r="G61" s="5">
        <v>54741</v>
      </c>
      <c r="H61" s="2">
        <f t="shared" si="20"/>
        <v>1460</v>
      </c>
      <c r="M61" s="4">
        <f t="shared" si="17"/>
        <v>24820</v>
      </c>
    </row>
    <row r="62" spans="1:13" x14ac:dyDescent="0.25">
      <c r="B62" s="4">
        <v>91</v>
      </c>
      <c r="C62">
        <v>1460</v>
      </c>
      <c r="D62">
        <f t="shared" si="18"/>
        <v>54741</v>
      </c>
      <c r="E62">
        <v>1</v>
      </c>
      <c r="G62" s="6">
        <f t="shared" ref="G62:G68" si="21">G61+1460</f>
        <v>56201</v>
      </c>
      <c r="H62" s="2">
        <f t="shared" si="20"/>
        <v>1460</v>
      </c>
      <c r="M62" s="4">
        <f t="shared" si="17"/>
        <v>26280</v>
      </c>
    </row>
    <row r="63" spans="1:13" x14ac:dyDescent="0.25">
      <c r="B63" s="4">
        <v>92</v>
      </c>
      <c r="C63">
        <v>1460</v>
      </c>
      <c r="D63">
        <f t="shared" si="18"/>
        <v>56201</v>
      </c>
      <c r="E63">
        <v>1</v>
      </c>
      <c r="G63" s="6">
        <f t="shared" si="21"/>
        <v>57661</v>
      </c>
      <c r="H63" s="2">
        <f t="shared" si="20"/>
        <v>1460</v>
      </c>
      <c r="M63" s="4">
        <f t="shared" si="17"/>
        <v>27740</v>
      </c>
    </row>
    <row r="64" spans="1:13" x14ac:dyDescent="0.25">
      <c r="B64" s="4">
        <v>93</v>
      </c>
      <c r="C64">
        <v>1460</v>
      </c>
      <c r="D64">
        <f t="shared" si="18"/>
        <v>57661</v>
      </c>
      <c r="E64">
        <v>1</v>
      </c>
      <c r="G64" s="6">
        <f t="shared" si="21"/>
        <v>59121</v>
      </c>
      <c r="H64" s="2">
        <f t="shared" si="20"/>
        <v>1460</v>
      </c>
      <c r="M64" s="4">
        <f t="shared" si="17"/>
        <v>29200</v>
      </c>
    </row>
    <row r="65" spans="2:13" x14ac:dyDescent="0.25">
      <c r="B65" s="4">
        <v>94</v>
      </c>
      <c r="C65">
        <v>1460</v>
      </c>
      <c r="D65">
        <f t="shared" si="18"/>
        <v>59121</v>
      </c>
      <c r="E65">
        <v>1</v>
      </c>
      <c r="G65" s="6">
        <f t="shared" si="21"/>
        <v>60581</v>
      </c>
      <c r="H65" s="2">
        <f t="shared" si="20"/>
        <v>1460</v>
      </c>
      <c r="M65" s="4">
        <f t="shared" si="17"/>
        <v>30660</v>
      </c>
    </row>
    <row r="66" spans="2:13" x14ac:dyDescent="0.25">
      <c r="B66" s="4">
        <v>95</v>
      </c>
      <c r="C66">
        <v>1460</v>
      </c>
      <c r="D66">
        <f t="shared" si="18"/>
        <v>60581</v>
      </c>
      <c r="E66">
        <v>1</v>
      </c>
      <c r="G66" s="6">
        <f t="shared" si="21"/>
        <v>62041</v>
      </c>
      <c r="H66" s="2">
        <f t="shared" si="20"/>
        <v>1460</v>
      </c>
      <c r="M66" s="4">
        <f t="shared" si="17"/>
        <v>32120</v>
      </c>
    </row>
    <row r="67" spans="2:13" x14ac:dyDescent="0.25">
      <c r="B67" s="4">
        <v>96</v>
      </c>
      <c r="C67">
        <v>1460</v>
      </c>
      <c r="D67">
        <f t="shared" si="18"/>
        <v>62041</v>
      </c>
      <c r="E67">
        <v>1</v>
      </c>
      <c r="G67" s="6">
        <f t="shared" si="21"/>
        <v>63501</v>
      </c>
      <c r="H67" s="2">
        <f t="shared" si="20"/>
        <v>1460</v>
      </c>
      <c r="M67" s="4">
        <f t="shared" si="17"/>
        <v>33580</v>
      </c>
    </row>
    <row r="68" spans="2:13" ht="15.75" thickBot="1" x14ac:dyDescent="0.3">
      <c r="B68" s="4">
        <v>97</v>
      </c>
      <c r="C68">
        <v>1460</v>
      </c>
      <c r="D68">
        <f t="shared" si="18"/>
        <v>63501</v>
      </c>
      <c r="E68">
        <v>1</v>
      </c>
      <c r="G68" s="7">
        <f t="shared" si="21"/>
        <v>64961</v>
      </c>
      <c r="H68" s="2">
        <f t="shared" si="20"/>
        <v>1460</v>
      </c>
      <c r="M68" s="4">
        <f t="shared" si="17"/>
        <v>35040</v>
      </c>
    </row>
    <row r="69" spans="2:13" x14ac:dyDescent="0.25">
      <c r="B69" s="4">
        <v>98</v>
      </c>
      <c r="C69">
        <v>1460</v>
      </c>
      <c r="D69">
        <f t="shared" si="18"/>
        <v>64961</v>
      </c>
      <c r="E69">
        <v>1</v>
      </c>
      <c r="M69" s="4">
        <f t="shared" si="17"/>
        <v>36500</v>
      </c>
    </row>
    <row r="70" spans="2:13" x14ac:dyDescent="0.25">
      <c r="B70" s="4">
        <v>99</v>
      </c>
      <c r="C70">
        <v>1460</v>
      </c>
      <c r="D70">
        <f t="shared" si="18"/>
        <v>66421</v>
      </c>
      <c r="E70">
        <v>1</v>
      </c>
      <c r="G70" s="2">
        <v>67881</v>
      </c>
      <c r="H70" s="2">
        <f>G70-G68</f>
        <v>2920</v>
      </c>
      <c r="I70" t="s">
        <v>59</v>
      </c>
      <c r="M70" s="4">
        <f t="shared" si="17"/>
        <v>37960</v>
      </c>
    </row>
    <row r="71" spans="2:13" ht="15.75" thickBot="1" x14ac:dyDescent="0.3">
      <c r="B71" s="4">
        <v>100</v>
      </c>
      <c r="C71">
        <v>1460</v>
      </c>
      <c r="D71">
        <f t="shared" si="18"/>
        <v>67881</v>
      </c>
      <c r="E71">
        <v>1</v>
      </c>
      <c r="M71" s="4">
        <f t="shared" si="17"/>
        <v>39420</v>
      </c>
    </row>
    <row r="72" spans="2:13" x14ac:dyDescent="0.25">
      <c r="B72" s="2">
        <v>101</v>
      </c>
      <c r="C72" s="2">
        <v>0</v>
      </c>
      <c r="D72" s="2">
        <v>1</v>
      </c>
      <c r="E72" s="5">
        <v>31381</v>
      </c>
      <c r="F72" s="2"/>
      <c r="G72" s="9" t="s">
        <v>34</v>
      </c>
      <c r="M72" s="2">
        <f t="shared" ref="M72:M81" si="22">M71-1460</f>
        <v>37960</v>
      </c>
    </row>
    <row r="73" spans="2:13" x14ac:dyDescent="0.25">
      <c r="B73" s="2">
        <v>102</v>
      </c>
      <c r="C73" s="2">
        <v>0</v>
      </c>
      <c r="D73" s="2">
        <v>1</v>
      </c>
      <c r="E73" s="6">
        <v>32841</v>
      </c>
      <c r="F73" s="2"/>
      <c r="G73" s="9" t="s">
        <v>35</v>
      </c>
      <c r="M73" s="2">
        <f t="shared" si="22"/>
        <v>36500</v>
      </c>
    </row>
    <row r="74" spans="2:13" x14ac:dyDescent="0.25">
      <c r="B74" s="2">
        <v>103</v>
      </c>
      <c r="C74" s="2">
        <v>0</v>
      </c>
      <c r="D74" s="2">
        <v>1</v>
      </c>
      <c r="E74" s="6">
        <v>34301</v>
      </c>
      <c r="F74" s="2"/>
      <c r="G74" s="9" t="s">
        <v>36</v>
      </c>
      <c r="M74" s="2">
        <f t="shared" si="22"/>
        <v>35040</v>
      </c>
    </row>
    <row r="75" spans="2:13" x14ac:dyDescent="0.25">
      <c r="B75" s="2">
        <v>104</v>
      </c>
      <c r="C75" s="2">
        <v>0</v>
      </c>
      <c r="D75" s="2">
        <v>1</v>
      </c>
      <c r="E75" s="6">
        <v>35761</v>
      </c>
      <c r="F75" s="2"/>
      <c r="G75" s="9" t="s">
        <v>37</v>
      </c>
      <c r="M75" s="2">
        <f t="shared" si="22"/>
        <v>33580</v>
      </c>
    </row>
    <row r="76" spans="2:13" x14ac:dyDescent="0.25">
      <c r="B76" s="2">
        <v>105</v>
      </c>
      <c r="C76" s="2">
        <v>0</v>
      </c>
      <c r="D76" s="2">
        <v>1</v>
      </c>
      <c r="E76" s="6">
        <f>E75+1460</f>
        <v>37221</v>
      </c>
      <c r="F76" s="2"/>
      <c r="G76" s="9" t="s">
        <v>38</v>
      </c>
      <c r="M76" s="2">
        <f t="shared" si="22"/>
        <v>32120</v>
      </c>
    </row>
    <row r="77" spans="2:13" x14ac:dyDescent="0.25">
      <c r="B77" s="2">
        <v>106</v>
      </c>
      <c r="C77" s="2">
        <v>0</v>
      </c>
      <c r="D77" s="2">
        <v>1</v>
      </c>
      <c r="E77" s="6">
        <f t="shared" ref="E77:E81" si="23">E76+1460</f>
        <v>38681</v>
      </c>
      <c r="F77" s="2"/>
      <c r="G77" s="9" t="s">
        <v>39</v>
      </c>
      <c r="M77" s="2">
        <f t="shared" si="22"/>
        <v>30660</v>
      </c>
    </row>
    <row r="78" spans="2:13" x14ac:dyDescent="0.25">
      <c r="B78" s="2">
        <v>107</v>
      </c>
      <c r="C78" s="2">
        <v>0</v>
      </c>
      <c r="D78" s="2">
        <v>1</v>
      </c>
      <c r="E78" s="6">
        <f t="shared" si="23"/>
        <v>40141</v>
      </c>
      <c r="F78" s="2"/>
      <c r="G78" s="9" t="s">
        <v>40</v>
      </c>
      <c r="M78" s="2">
        <f t="shared" si="22"/>
        <v>29200</v>
      </c>
    </row>
    <row r="79" spans="2:13" x14ac:dyDescent="0.25">
      <c r="B79" s="2">
        <v>108</v>
      </c>
      <c r="C79" s="2">
        <v>0</v>
      </c>
      <c r="D79" s="2">
        <v>1</v>
      </c>
      <c r="E79" s="6">
        <f t="shared" si="23"/>
        <v>41601</v>
      </c>
      <c r="F79" s="2"/>
      <c r="G79" s="9" t="s">
        <v>41</v>
      </c>
      <c r="M79" s="2">
        <f t="shared" si="22"/>
        <v>27740</v>
      </c>
    </row>
    <row r="80" spans="2:13" x14ac:dyDescent="0.25">
      <c r="B80" s="2">
        <v>109</v>
      </c>
      <c r="C80" s="2">
        <v>0</v>
      </c>
      <c r="D80" s="2">
        <v>1</v>
      </c>
      <c r="E80" s="6">
        <f t="shared" si="23"/>
        <v>43061</v>
      </c>
      <c r="F80" s="2"/>
      <c r="G80" s="9" t="s">
        <v>42</v>
      </c>
      <c r="M80" s="2">
        <f t="shared" si="22"/>
        <v>26280</v>
      </c>
    </row>
    <row r="81" spans="2:13" ht="15.75" thickBot="1" x14ac:dyDescent="0.3">
      <c r="B81" s="2">
        <v>110</v>
      </c>
      <c r="C81" s="2">
        <v>0</v>
      </c>
      <c r="D81" s="2">
        <v>1</v>
      </c>
      <c r="E81" s="7">
        <f t="shared" si="23"/>
        <v>44521</v>
      </c>
      <c r="F81" s="2"/>
      <c r="G81" s="9" t="s">
        <v>43</v>
      </c>
      <c r="M81" s="2">
        <f t="shared" si="22"/>
        <v>24820</v>
      </c>
    </row>
    <row r="82" spans="2:13" x14ac:dyDescent="0.25">
      <c r="B82" s="4">
        <v>111</v>
      </c>
      <c r="C82">
        <v>1460</v>
      </c>
      <c r="D82">
        <v>69341</v>
      </c>
      <c r="E82">
        <v>1</v>
      </c>
      <c r="G82" s="2">
        <v>70801</v>
      </c>
      <c r="H82" s="2">
        <f>G82-G70</f>
        <v>2920</v>
      </c>
      <c r="I82" t="s">
        <v>59</v>
      </c>
      <c r="M82" s="4">
        <f t="shared" ref="M82:M101" si="24">M81+1460</f>
        <v>26280</v>
      </c>
    </row>
    <row r="83" spans="2:13" x14ac:dyDescent="0.25">
      <c r="B83" s="4">
        <v>112</v>
      </c>
      <c r="C83">
        <v>1460</v>
      </c>
      <c r="D83">
        <f t="shared" ref="D83:D101" si="25">D82+C82</f>
        <v>70801</v>
      </c>
      <c r="E83">
        <v>1</v>
      </c>
      <c r="M83" s="4">
        <f t="shared" si="24"/>
        <v>27740</v>
      </c>
    </row>
    <row r="84" spans="2:13" x14ac:dyDescent="0.25">
      <c r="B84" s="4">
        <v>113</v>
      </c>
      <c r="C84">
        <v>1460</v>
      </c>
      <c r="D84">
        <f t="shared" si="25"/>
        <v>72261</v>
      </c>
      <c r="E84">
        <v>1</v>
      </c>
      <c r="G84" s="2">
        <v>73721</v>
      </c>
      <c r="H84" s="2">
        <f>G84-G82</f>
        <v>2920</v>
      </c>
      <c r="I84" t="s">
        <v>59</v>
      </c>
      <c r="M84" s="4">
        <f t="shared" si="24"/>
        <v>29200</v>
      </c>
    </row>
    <row r="85" spans="2:13" x14ac:dyDescent="0.25">
      <c r="B85" s="4">
        <v>114</v>
      </c>
      <c r="C85">
        <v>1460</v>
      </c>
      <c r="D85">
        <f t="shared" si="25"/>
        <v>73721</v>
      </c>
      <c r="E85">
        <v>1</v>
      </c>
      <c r="M85" s="4">
        <f t="shared" si="24"/>
        <v>30660</v>
      </c>
    </row>
    <row r="86" spans="2:13" x14ac:dyDescent="0.25">
      <c r="B86" s="4">
        <v>115</v>
      </c>
      <c r="C86">
        <v>1460</v>
      </c>
      <c r="D86">
        <f t="shared" si="25"/>
        <v>75181</v>
      </c>
      <c r="E86">
        <v>1</v>
      </c>
      <c r="G86" s="2">
        <v>76641</v>
      </c>
      <c r="H86" s="2">
        <f>G86-G84</f>
        <v>2920</v>
      </c>
      <c r="I86" t="s">
        <v>59</v>
      </c>
      <c r="J86" s="2"/>
      <c r="M86" s="4">
        <f t="shared" si="24"/>
        <v>32120</v>
      </c>
    </row>
    <row r="87" spans="2:13" x14ac:dyDescent="0.25">
      <c r="B87" s="4">
        <v>116</v>
      </c>
      <c r="C87">
        <v>1460</v>
      </c>
      <c r="D87">
        <f t="shared" si="25"/>
        <v>76641</v>
      </c>
      <c r="E87">
        <v>1</v>
      </c>
      <c r="M87" s="4">
        <f t="shared" si="24"/>
        <v>33580</v>
      </c>
    </row>
    <row r="88" spans="2:13" x14ac:dyDescent="0.25">
      <c r="B88" s="4">
        <v>117</v>
      </c>
      <c r="C88">
        <v>1460</v>
      </c>
      <c r="D88">
        <f t="shared" si="25"/>
        <v>78101</v>
      </c>
      <c r="E88">
        <v>1</v>
      </c>
      <c r="G88" s="2">
        <v>79561</v>
      </c>
      <c r="H88" s="2">
        <f>G88-G86</f>
        <v>2920</v>
      </c>
      <c r="I88" t="s">
        <v>59</v>
      </c>
      <c r="M88" s="4">
        <f t="shared" si="24"/>
        <v>35040</v>
      </c>
    </row>
    <row r="89" spans="2:13" x14ac:dyDescent="0.25">
      <c r="B89" s="4">
        <v>118</v>
      </c>
      <c r="C89">
        <v>1460</v>
      </c>
      <c r="D89">
        <f t="shared" si="25"/>
        <v>79561</v>
      </c>
      <c r="E89">
        <v>1</v>
      </c>
      <c r="M89" s="4">
        <f t="shared" si="24"/>
        <v>36500</v>
      </c>
    </row>
    <row r="90" spans="2:13" x14ac:dyDescent="0.25">
      <c r="B90" s="4">
        <v>119</v>
      </c>
      <c r="C90">
        <v>1460</v>
      </c>
      <c r="D90">
        <f t="shared" si="25"/>
        <v>81021</v>
      </c>
      <c r="E90">
        <v>1</v>
      </c>
      <c r="M90" s="4">
        <f t="shared" si="24"/>
        <v>37960</v>
      </c>
    </row>
    <row r="91" spans="2:13" x14ac:dyDescent="0.25">
      <c r="B91" s="4">
        <v>120</v>
      </c>
      <c r="C91">
        <v>1460</v>
      </c>
      <c r="D91">
        <f t="shared" si="25"/>
        <v>82481</v>
      </c>
      <c r="E91">
        <v>1</v>
      </c>
      <c r="M91" s="4">
        <f t="shared" si="24"/>
        <v>39420</v>
      </c>
    </row>
    <row r="92" spans="2:13" x14ac:dyDescent="0.25">
      <c r="B92" s="4">
        <v>121</v>
      </c>
      <c r="C92">
        <v>1460</v>
      </c>
      <c r="D92">
        <f t="shared" si="25"/>
        <v>83941</v>
      </c>
      <c r="E92">
        <v>1</v>
      </c>
      <c r="M92" s="4">
        <f t="shared" si="24"/>
        <v>40880</v>
      </c>
    </row>
    <row r="93" spans="2:13" x14ac:dyDescent="0.25">
      <c r="B93" s="4">
        <v>122</v>
      </c>
      <c r="C93">
        <v>1460</v>
      </c>
      <c r="D93">
        <f t="shared" si="25"/>
        <v>85401</v>
      </c>
      <c r="E93">
        <v>1</v>
      </c>
      <c r="M93" s="4">
        <f t="shared" si="24"/>
        <v>42340</v>
      </c>
    </row>
    <row r="94" spans="2:13" x14ac:dyDescent="0.25">
      <c r="B94" s="4">
        <v>123</v>
      </c>
      <c r="C94">
        <v>1460</v>
      </c>
      <c r="D94">
        <f t="shared" si="25"/>
        <v>86861</v>
      </c>
      <c r="E94">
        <v>1</v>
      </c>
      <c r="M94" s="4">
        <f t="shared" si="24"/>
        <v>43800</v>
      </c>
    </row>
    <row r="95" spans="2:13" x14ac:dyDescent="0.25">
      <c r="B95" s="4">
        <v>124</v>
      </c>
      <c r="C95">
        <v>1460</v>
      </c>
      <c r="D95">
        <f t="shared" si="25"/>
        <v>88321</v>
      </c>
      <c r="E95">
        <v>1</v>
      </c>
      <c r="M95" s="4">
        <f t="shared" si="24"/>
        <v>45260</v>
      </c>
    </row>
    <row r="96" spans="2:13" x14ac:dyDescent="0.25">
      <c r="B96" s="4">
        <v>125</v>
      </c>
      <c r="C96">
        <v>1460</v>
      </c>
      <c r="D96">
        <f t="shared" si="25"/>
        <v>89781</v>
      </c>
      <c r="E96">
        <v>1</v>
      </c>
      <c r="M96" s="4">
        <f t="shared" si="24"/>
        <v>46720</v>
      </c>
    </row>
    <row r="97" spans="2:13" x14ac:dyDescent="0.25">
      <c r="B97" s="4">
        <v>126</v>
      </c>
      <c r="C97">
        <v>1460</v>
      </c>
      <c r="D97">
        <f t="shared" si="25"/>
        <v>91241</v>
      </c>
      <c r="E97">
        <v>1</v>
      </c>
      <c r="M97" s="4">
        <f t="shared" si="24"/>
        <v>48180</v>
      </c>
    </row>
    <row r="98" spans="2:13" x14ac:dyDescent="0.25">
      <c r="B98" s="4">
        <v>127</v>
      </c>
      <c r="C98">
        <v>1460</v>
      </c>
      <c r="D98">
        <f t="shared" si="25"/>
        <v>92701</v>
      </c>
      <c r="E98">
        <v>1</v>
      </c>
      <c r="M98" s="4">
        <f t="shared" si="24"/>
        <v>49640</v>
      </c>
    </row>
    <row r="99" spans="2:13" x14ac:dyDescent="0.25">
      <c r="B99" s="4">
        <v>128</v>
      </c>
      <c r="C99">
        <v>1460</v>
      </c>
      <c r="D99">
        <f t="shared" si="25"/>
        <v>94161</v>
      </c>
      <c r="E99">
        <v>1</v>
      </c>
      <c r="M99" s="4">
        <f t="shared" si="24"/>
        <v>51100</v>
      </c>
    </row>
    <row r="100" spans="2:13" x14ac:dyDescent="0.25">
      <c r="B100" s="4">
        <v>129</v>
      </c>
      <c r="C100">
        <v>1460</v>
      </c>
      <c r="D100">
        <f t="shared" si="25"/>
        <v>95621</v>
      </c>
      <c r="E100">
        <v>1</v>
      </c>
      <c r="M100" s="4">
        <f t="shared" si="24"/>
        <v>52560</v>
      </c>
    </row>
    <row r="101" spans="2:13" ht="15.75" thickBot="1" x14ac:dyDescent="0.3">
      <c r="B101" s="4">
        <v>130</v>
      </c>
      <c r="C101">
        <v>1460</v>
      </c>
      <c r="D101">
        <f t="shared" si="25"/>
        <v>97081</v>
      </c>
      <c r="E101">
        <v>1</v>
      </c>
      <c r="M101" s="4">
        <f t="shared" si="24"/>
        <v>54020</v>
      </c>
    </row>
    <row r="102" spans="2:13" ht="15.75" thickBot="1" x14ac:dyDescent="0.3">
      <c r="B102" s="2">
        <v>131</v>
      </c>
      <c r="C102" s="2">
        <v>0</v>
      </c>
      <c r="D102" s="2">
        <v>1</v>
      </c>
      <c r="E102" s="8">
        <v>45981</v>
      </c>
      <c r="G102" s="9" t="s">
        <v>44</v>
      </c>
      <c r="M102" s="2">
        <f t="shared" ref="M102:M107" si="26">M101-1460</f>
        <v>52560</v>
      </c>
    </row>
    <row r="103" spans="2:13" x14ac:dyDescent="0.25">
      <c r="B103" s="2">
        <v>132</v>
      </c>
      <c r="C103" s="2">
        <v>0</v>
      </c>
      <c r="D103" s="2">
        <v>1</v>
      </c>
      <c r="E103" s="5">
        <f t="shared" ref="E103:E106" si="27">E102+1460</f>
        <v>47441</v>
      </c>
      <c r="G103" s="9" t="s">
        <v>45</v>
      </c>
      <c r="M103" s="2">
        <f t="shared" si="26"/>
        <v>51100</v>
      </c>
    </row>
    <row r="104" spans="2:13" x14ac:dyDescent="0.25">
      <c r="B104" s="2">
        <v>133</v>
      </c>
      <c r="C104" s="2">
        <v>0</v>
      </c>
      <c r="D104" s="2">
        <v>1</v>
      </c>
      <c r="E104" s="6">
        <f t="shared" si="27"/>
        <v>48901</v>
      </c>
      <c r="G104" s="9" t="s">
        <v>46</v>
      </c>
      <c r="M104" s="2">
        <f t="shared" si="26"/>
        <v>49640</v>
      </c>
    </row>
    <row r="105" spans="2:13" x14ac:dyDescent="0.25">
      <c r="B105" s="2">
        <v>134</v>
      </c>
      <c r="C105" s="2">
        <v>0</v>
      </c>
      <c r="D105" s="2">
        <v>1</v>
      </c>
      <c r="E105" s="6">
        <f t="shared" si="27"/>
        <v>50361</v>
      </c>
      <c r="G105" s="9" t="s">
        <v>47</v>
      </c>
      <c r="M105" s="2">
        <f t="shared" si="26"/>
        <v>48180</v>
      </c>
    </row>
    <row r="106" spans="2:13" x14ac:dyDescent="0.25">
      <c r="B106" s="2">
        <v>135</v>
      </c>
      <c r="C106" s="2">
        <v>0</v>
      </c>
      <c r="D106" s="2">
        <v>1</v>
      </c>
      <c r="E106" s="6">
        <f t="shared" si="27"/>
        <v>51821</v>
      </c>
      <c r="G106" s="9" t="s">
        <v>48</v>
      </c>
      <c r="M106" s="2">
        <f t="shared" si="26"/>
        <v>46720</v>
      </c>
    </row>
    <row r="107" spans="2:13" ht="15.75" thickBot="1" x14ac:dyDescent="0.3">
      <c r="B107" s="2">
        <v>136</v>
      </c>
      <c r="C107" s="2">
        <v>0</v>
      </c>
      <c r="D107" s="2">
        <v>1</v>
      </c>
      <c r="E107" s="7">
        <f t="shared" ref="E107" si="28">E106+1460</f>
        <v>53281</v>
      </c>
      <c r="G107" s="9" t="s">
        <v>49</v>
      </c>
      <c r="M107" s="2">
        <f t="shared" si="26"/>
        <v>45260</v>
      </c>
    </row>
    <row r="108" spans="2:13" x14ac:dyDescent="0.25">
      <c r="B108" s="4">
        <v>137</v>
      </c>
      <c r="C108">
        <v>1460</v>
      </c>
      <c r="D108">
        <f>D101+1460</f>
        <v>98541</v>
      </c>
      <c r="E108">
        <v>1</v>
      </c>
      <c r="M108" s="4">
        <f t="shared" ref="M108:M119" si="29">M107+1460</f>
        <v>46720</v>
      </c>
    </row>
    <row r="109" spans="2:13" x14ac:dyDescent="0.25">
      <c r="B109" s="4">
        <v>138</v>
      </c>
      <c r="C109">
        <v>1460</v>
      </c>
      <c r="D109">
        <f t="shared" ref="D109:D118" si="30">D108+C108</f>
        <v>100001</v>
      </c>
      <c r="E109">
        <v>1</v>
      </c>
      <c r="M109" s="4">
        <f t="shared" si="29"/>
        <v>48180</v>
      </c>
    </row>
    <row r="110" spans="2:13" x14ac:dyDescent="0.25">
      <c r="B110" s="4">
        <v>139</v>
      </c>
      <c r="C110">
        <v>1460</v>
      </c>
      <c r="D110">
        <f t="shared" si="30"/>
        <v>101461</v>
      </c>
      <c r="E110">
        <v>1</v>
      </c>
      <c r="M110" s="4">
        <f t="shared" si="29"/>
        <v>49640</v>
      </c>
    </row>
    <row r="111" spans="2:13" x14ac:dyDescent="0.25">
      <c r="B111" s="4">
        <v>140</v>
      </c>
      <c r="C111">
        <v>1460</v>
      </c>
      <c r="D111">
        <f t="shared" si="30"/>
        <v>102921</v>
      </c>
      <c r="E111">
        <v>1</v>
      </c>
      <c r="M111" s="4">
        <f t="shared" si="29"/>
        <v>51100</v>
      </c>
    </row>
    <row r="112" spans="2:13" x14ac:dyDescent="0.25">
      <c r="B112" s="4">
        <v>141</v>
      </c>
      <c r="C112">
        <v>1460</v>
      </c>
      <c r="D112">
        <f t="shared" si="30"/>
        <v>104381</v>
      </c>
      <c r="E112">
        <v>1</v>
      </c>
      <c r="M112" s="4">
        <f t="shared" si="29"/>
        <v>52560</v>
      </c>
    </row>
    <row r="113" spans="2:13" x14ac:dyDescent="0.25">
      <c r="B113" s="4">
        <v>142</v>
      </c>
      <c r="C113">
        <v>1460</v>
      </c>
      <c r="D113">
        <f t="shared" si="30"/>
        <v>105841</v>
      </c>
      <c r="E113">
        <v>1</v>
      </c>
      <c r="M113" s="4">
        <f t="shared" si="29"/>
        <v>54020</v>
      </c>
    </row>
    <row r="114" spans="2:13" x14ac:dyDescent="0.25">
      <c r="B114" s="4">
        <v>143</v>
      </c>
      <c r="C114">
        <v>1460</v>
      </c>
      <c r="D114">
        <f t="shared" si="30"/>
        <v>107301</v>
      </c>
      <c r="E114">
        <v>1</v>
      </c>
      <c r="M114" s="4">
        <f t="shared" si="29"/>
        <v>55480</v>
      </c>
    </row>
    <row r="115" spans="2:13" x14ac:dyDescent="0.25">
      <c r="B115" s="4">
        <v>144</v>
      </c>
      <c r="C115">
        <v>1460</v>
      </c>
      <c r="D115">
        <f t="shared" si="30"/>
        <v>108761</v>
      </c>
      <c r="E115">
        <v>1</v>
      </c>
      <c r="M115" s="4">
        <f t="shared" si="29"/>
        <v>56940</v>
      </c>
    </row>
    <row r="116" spans="2:13" x14ac:dyDescent="0.25">
      <c r="B116" s="4">
        <v>145</v>
      </c>
      <c r="C116">
        <v>1460</v>
      </c>
      <c r="D116">
        <f t="shared" si="30"/>
        <v>110221</v>
      </c>
      <c r="E116">
        <v>1</v>
      </c>
      <c r="M116" s="4">
        <f t="shared" si="29"/>
        <v>58400</v>
      </c>
    </row>
    <row r="117" spans="2:13" x14ac:dyDescent="0.25">
      <c r="B117" s="4">
        <v>146</v>
      </c>
      <c r="C117">
        <v>1460</v>
      </c>
      <c r="D117">
        <f t="shared" si="30"/>
        <v>111681</v>
      </c>
      <c r="E117">
        <v>1</v>
      </c>
      <c r="M117" s="4">
        <f t="shared" si="29"/>
        <v>59860</v>
      </c>
    </row>
    <row r="118" spans="2:13" x14ac:dyDescent="0.25">
      <c r="B118" s="4">
        <v>147</v>
      </c>
      <c r="C118">
        <v>1460</v>
      </c>
      <c r="D118">
        <f t="shared" si="30"/>
        <v>113141</v>
      </c>
      <c r="E118">
        <v>1</v>
      </c>
      <c r="M118" s="4">
        <f t="shared" si="29"/>
        <v>61320</v>
      </c>
    </row>
    <row r="119" spans="2:13" ht="15.75" thickBot="1" x14ac:dyDescent="0.3">
      <c r="B119" s="4">
        <v>148</v>
      </c>
      <c r="C119">
        <v>808</v>
      </c>
      <c r="D119">
        <f t="shared" ref="D119" si="31">D118+C118</f>
        <v>114601</v>
      </c>
      <c r="E119">
        <v>2</v>
      </c>
      <c r="M119" s="4">
        <f t="shared" si="29"/>
        <v>62780</v>
      </c>
    </row>
    <row r="120" spans="2:13" x14ac:dyDescent="0.25">
      <c r="B120" s="2">
        <v>149</v>
      </c>
      <c r="C120" s="2">
        <v>0</v>
      </c>
      <c r="D120" s="2">
        <v>1</v>
      </c>
      <c r="E120" s="5">
        <v>54741</v>
      </c>
      <c r="G120" s="9" t="s">
        <v>50</v>
      </c>
      <c r="M120" s="2">
        <f t="shared" ref="M120:M127" si="32">M119-1460</f>
        <v>61320</v>
      </c>
    </row>
    <row r="121" spans="2:13" x14ac:dyDescent="0.25">
      <c r="B121" s="2">
        <v>150</v>
      </c>
      <c r="C121" s="2">
        <v>0</v>
      </c>
      <c r="D121" s="2">
        <v>1</v>
      </c>
      <c r="E121" s="6">
        <f t="shared" ref="E121:E127" si="33">E120+1460</f>
        <v>56201</v>
      </c>
      <c r="G121" s="9" t="s">
        <v>51</v>
      </c>
      <c r="M121" s="2">
        <f t="shared" si="32"/>
        <v>59860</v>
      </c>
    </row>
    <row r="122" spans="2:13" x14ac:dyDescent="0.25">
      <c r="B122" s="2">
        <v>151</v>
      </c>
      <c r="C122" s="2">
        <v>0</v>
      </c>
      <c r="D122" s="2">
        <v>1</v>
      </c>
      <c r="E122" s="6">
        <f t="shared" si="33"/>
        <v>57661</v>
      </c>
      <c r="G122" s="9" t="s">
        <v>52</v>
      </c>
      <c r="M122" s="2">
        <f t="shared" si="32"/>
        <v>58400</v>
      </c>
    </row>
    <row r="123" spans="2:13" x14ac:dyDescent="0.25">
      <c r="B123" s="2">
        <v>152</v>
      </c>
      <c r="C123" s="2">
        <v>0</v>
      </c>
      <c r="D123" s="2">
        <v>1</v>
      </c>
      <c r="E123" s="6">
        <f t="shared" si="33"/>
        <v>59121</v>
      </c>
      <c r="G123" s="9" t="s">
        <v>53</v>
      </c>
      <c r="M123" s="2">
        <f t="shared" si="32"/>
        <v>56940</v>
      </c>
    </row>
    <row r="124" spans="2:13" x14ac:dyDescent="0.25">
      <c r="B124" s="2">
        <v>153</v>
      </c>
      <c r="C124" s="2">
        <v>0</v>
      </c>
      <c r="D124" s="2">
        <v>1</v>
      </c>
      <c r="E124" s="6">
        <f t="shared" si="33"/>
        <v>60581</v>
      </c>
      <c r="G124" s="9" t="s">
        <v>54</v>
      </c>
      <c r="M124" s="2">
        <f t="shared" si="32"/>
        <v>55480</v>
      </c>
    </row>
    <row r="125" spans="2:13" x14ac:dyDescent="0.25">
      <c r="B125" s="2">
        <v>154</v>
      </c>
      <c r="C125" s="2">
        <v>0</v>
      </c>
      <c r="D125" s="2">
        <v>1</v>
      </c>
      <c r="E125" s="6">
        <f t="shared" si="33"/>
        <v>62041</v>
      </c>
      <c r="G125" s="9" t="s">
        <v>55</v>
      </c>
      <c r="M125" s="2">
        <f t="shared" si="32"/>
        <v>54020</v>
      </c>
    </row>
    <row r="126" spans="2:13" x14ac:dyDescent="0.25">
      <c r="B126" s="2">
        <v>155</v>
      </c>
      <c r="C126" s="2">
        <v>0</v>
      </c>
      <c r="D126" s="2">
        <v>1</v>
      </c>
      <c r="E126" s="6">
        <f t="shared" si="33"/>
        <v>63501</v>
      </c>
      <c r="G126" s="9" t="s">
        <v>56</v>
      </c>
      <c r="M126" s="2">
        <f t="shared" si="32"/>
        <v>52560</v>
      </c>
    </row>
    <row r="127" spans="2:13" ht="15.75" thickBot="1" x14ac:dyDescent="0.3">
      <c r="B127" s="2">
        <v>156</v>
      </c>
      <c r="C127" s="2">
        <v>0</v>
      </c>
      <c r="D127" s="2">
        <v>1</v>
      </c>
      <c r="E127" s="7">
        <f t="shared" si="33"/>
        <v>64961</v>
      </c>
      <c r="G127" s="9" t="s">
        <v>57</v>
      </c>
      <c r="M127" s="2">
        <f t="shared" si="32"/>
        <v>51100</v>
      </c>
    </row>
    <row r="128" spans="2:13" x14ac:dyDescent="0.25">
      <c r="B128" s="4">
        <v>157</v>
      </c>
      <c r="M128" s="4">
        <f t="shared" ref="M128:M143" si="34">M127+1460</f>
        <v>52560</v>
      </c>
    </row>
    <row r="129" spans="2:13" x14ac:dyDescent="0.25">
      <c r="B129" s="4">
        <v>158</v>
      </c>
      <c r="M129" s="4">
        <f t="shared" si="34"/>
        <v>54020</v>
      </c>
    </row>
    <row r="130" spans="2:13" x14ac:dyDescent="0.25">
      <c r="B130" s="4">
        <v>159</v>
      </c>
      <c r="M130" s="4">
        <f t="shared" si="34"/>
        <v>55480</v>
      </c>
    </row>
    <row r="131" spans="2:13" x14ac:dyDescent="0.25">
      <c r="B131" s="4">
        <v>160</v>
      </c>
      <c r="M131" s="4">
        <f t="shared" si="34"/>
        <v>56940</v>
      </c>
    </row>
    <row r="132" spans="2:13" x14ac:dyDescent="0.25">
      <c r="B132" s="4">
        <v>161</v>
      </c>
      <c r="M132" s="4">
        <f t="shared" si="34"/>
        <v>58400</v>
      </c>
    </row>
    <row r="133" spans="2:13" x14ac:dyDescent="0.25">
      <c r="B133" s="4">
        <v>162</v>
      </c>
      <c r="M133" s="4">
        <f t="shared" si="34"/>
        <v>59860</v>
      </c>
    </row>
    <row r="134" spans="2:13" x14ac:dyDescent="0.25">
      <c r="B134" s="4">
        <v>163</v>
      </c>
      <c r="M134" s="4">
        <f t="shared" si="34"/>
        <v>61320</v>
      </c>
    </row>
    <row r="135" spans="2:13" x14ac:dyDescent="0.25">
      <c r="B135" s="4">
        <v>164</v>
      </c>
      <c r="M135" s="4">
        <f t="shared" si="34"/>
        <v>62780</v>
      </c>
    </row>
    <row r="136" spans="2:13" x14ac:dyDescent="0.25">
      <c r="B136" s="4">
        <v>165</v>
      </c>
      <c r="M136" s="4">
        <f t="shared" si="34"/>
        <v>64240</v>
      </c>
    </row>
    <row r="137" spans="2:13" x14ac:dyDescent="0.25">
      <c r="B137" s="4">
        <v>166</v>
      </c>
      <c r="M137" s="4">
        <f t="shared" si="34"/>
        <v>65700</v>
      </c>
    </row>
    <row r="138" spans="2:13" x14ac:dyDescent="0.25">
      <c r="B138" s="4">
        <v>167</v>
      </c>
      <c r="M138" s="4">
        <f t="shared" si="34"/>
        <v>67160</v>
      </c>
    </row>
    <row r="139" spans="2:13" x14ac:dyDescent="0.25">
      <c r="B139" s="4">
        <v>168</v>
      </c>
      <c r="M139" s="4">
        <f t="shared" si="34"/>
        <v>68620</v>
      </c>
    </row>
    <row r="140" spans="2:13" x14ac:dyDescent="0.25">
      <c r="B140" s="4">
        <v>169</v>
      </c>
      <c r="M140" s="4">
        <f t="shared" si="34"/>
        <v>70080</v>
      </c>
    </row>
    <row r="141" spans="2:13" x14ac:dyDescent="0.25">
      <c r="B141" s="4">
        <v>170</v>
      </c>
      <c r="M141" s="4">
        <f t="shared" si="34"/>
        <v>71540</v>
      </c>
    </row>
    <row r="142" spans="2:13" x14ac:dyDescent="0.25">
      <c r="B142" s="4">
        <v>171</v>
      </c>
      <c r="M142" s="4">
        <f t="shared" si="34"/>
        <v>73000</v>
      </c>
    </row>
    <row r="143" spans="2:13" x14ac:dyDescent="0.25">
      <c r="B143" s="4">
        <v>172</v>
      </c>
      <c r="M143" s="4">
        <f t="shared" si="34"/>
        <v>74460</v>
      </c>
    </row>
    <row r="144" spans="2:13" x14ac:dyDescent="0.25">
      <c r="B144" s="2">
        <v>173</v>
      </c>
      <c r="C144" s="2">
        <v>0</v>
      </c>
      <c r="D144" s="2">
        <v>1</v>
      </c>
      <c r="E144" s="2">
        <v>67881</v>
      </c>
      <c r="G144" s="9" t="s">
        <v>58</v>
      </c>
      <c r="H144" t="s">
        <v>59</v>
      </c>
    </row>
    <row r="145" spans="2:8" x14ac:dyDescent="0.25">
      <c r="B145" s="2">
        <v>174</v>
      </c>
      <c r="C145" s="2">
        <v>0</v>
      </c>
      <c r="D145" s="2">
        <v>1</v>
      </c>
      <c r="E145" s="2">
        <v>70801</v>
      </c>
      <c r="G145" s="9" t="s">
        <v>60</v>
      </c>
      <c r="H145" t="s">
        <v>59</v>
      </c>
    </row>
    <row r="146" spans="2:8" x14ac:dyDescent="0.25">
      <c r="B146" s="2">
        <v>175</v>
      </c>
      <c r="C146" s="2">
        <v>0</v>
      </c>
      <c r="D146" s="2">
        <v>1</v>
      </c>
      <c r="E146" s="2">
        <v>73721</v>
      </c>
      <c r="G146" s="9" t="s">
        <v>61</v>
      </c>
      <c r="H146" t="s">
        <v>59</v>
      </c>
    </row>
    <row r="147" spans="2:8" x14ac:dyDescent="0.25">
      <c r="B147" s="2">
        <v>176</v>
      </c>
      <c r="C147" s="2">
        <v>0</v>
      </c>
      <c r="D147" s="2">
        <v>1</v>
      </c>
      <c r="E147" s="2">
        <v>76641</v>
      </c>
      <c r="G147" s="9" t="s">
        <v>62</v>
      </c>
      <c r="H147" t="s">
        <v>59</v>
      </c>
    </row>
    <row r="148" spans="2:8" x14ac:dyDescent="0.25">
      <c r="B148" s="2">
        <v>177</v>
      </c>
      <c r="C148" s="2">
        <v>0</v>
      </c>
      <c r="D148" s="2">
        <v>1</v>
      </c>
      <c r="E148" s="2">
        <v>79561</v>
      </c>
      <c r="G148" s="9" t="s">
        <v>63</v>
      </c>
      <c r="H148" t="s">
        <v>59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Adiantado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2020-07-31T18:57:53Z</dcterms:modified>
</cp:coreProperties>
</file>